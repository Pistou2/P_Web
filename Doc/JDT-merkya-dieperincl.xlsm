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JNLTRAV!$A$1:$D$128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27" i="168" l="1"/>
  <c r="B108" i="168"/>
  <c r="B89" i="168"/>
  <c r="B82" i="168"/>
  <c r="B74" i="168"/>
  <c r="B66" i="168"/>
  <c r="B58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<sst xmlns="http://schemas.openxmlformats.org/spreadsheetml/2006/main" count="456" uniqueCount="127">
  <si>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</si>
  <si>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</si>
  <si>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</si>
  <si>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</si>
  <si>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</si>
  <si>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</si>
  <si>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</si>
  <si>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</si>
  <si>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</si>
  <si>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</si>
  <si>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</si>
  <si>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</si>
  <si>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</si>
  <si>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</si>
  <si>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</si>
  <si>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</si>
  <si>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</si>
  <si>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</si>
  <si>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</si>
  <si>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</si>
  <si>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</si>
  <si>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</si>
  <si>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</si>
  <si>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</si>
  <si>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</si>
  <si>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</si>
  <si>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</si>
  <si>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</si>
  <si>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</si>
  <si>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</si>
  <si>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</si>
  <si>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</si>
  <si>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</si>
  <si>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</si>
  <si>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</si>
  <si>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</si>
  <si>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</si>
  <si>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</si>
  <si>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</si>
  <si>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</si>
  <si>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</si>
  <si>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</si>
  <si>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</si>
  <si>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</si>
  <si>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</si>
  <si>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</si>
  <si>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</si>
  <si>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</si>
  <si>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</si>
  <si>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</si>
  <si>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</si>
  <si>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</si>
  <si>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</si>
  <si>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</si>
  <si>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</si>
  <si>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</si>
  <si>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</si>
  <si>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</si>
  <si>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</si>
  <si>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</si>
  <si>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</si>
  <si>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</si>
  <si>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</si>
  <si>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</si>
  <si>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</si>
  <si>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</si>
  <si>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</si>
  <si>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</si>
  <si>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</si>
  <si>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</si>
  <si>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</si>
  <si>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</si>
  <si>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</si>
  <si>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</si>
  <si>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</si>
  <si>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</si>
  <si>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</si>
  <si>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</si>
  <si>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</si>
  <si>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</si>
  <si>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</si>
  <si>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</si>
  <si>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</si>
  <si>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</si>
  <si>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</si>
  <si>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</si>
  <si>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</si>
  <si>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</si>
  <si>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</si>
  <si>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</si>
  <si>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</si>
  <si>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</si>
  <si>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</si>
  <si>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</si>
  <si>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</si>
  <si>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</si>
  <si>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</si>
  <si>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</si>
  <si>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</si>
  <si>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</si>
  <si>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</si>
  <si>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</si>
  <si>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</si>
  <si>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</si>
  <si>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</si>
  <si>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</si>
  <si>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Modélisation du MCD et du MLD sur visio</t>
  </si>
  <si>
    <t>MCD-MLD.vsdx</t>
  </si>
  <si>
    <t>Yann : Changement mot de passe utilisateur à une taille de 80 pour le hashage</t>
  </si>
  <si>
    <t>..\SQL\BD.sql</t>
  </si>
  <si>
    <t>Clément : Ajout des alertes dans la page before.php lors de la connection et de la déconnexion</t>
  </si>
  <si>
    <t>Clément : Ajout d'une page pour l'erreur 404 et 401 et modification du .htacces pour la page 404</t>
  </si>
  <si>
    <t>Yann : Travaillé sur les champs à l'arrangement de la page</t>
  </si>
  <si>
    <t>..\Site\src\php\Inscription.php</t>
  </si>
  <si>
    <t>Clément : Mise au propre de la base de création de compte et mise en place de la communication avec la bd pour la page de login</t>
  </si>
  <si>
    <t>Clément : Ajout de la page d'inscription, avec la sauvegarde dans la base mysql</t>
  </si>
  <si>
    <t>..\Site\src\php\classes\Misc.php</t>
  </si>
  <si>
    <t>Yann : Continué de travailler sur la page d'ajout de livre</t>
  </si>
  <si>
    <t>Yann : Ajouté une fonction permetant d'écrire rapidemment un message d'erreur
Effacé le fichier Error401 puisque que nous redirigeons directement vers la page de login si besoin</t>
  </si>
  <si>
    <t>Yann : Corrections de quelques bugs de redirection un peu sur toutes les pages (avec les header("location : … )</t>
  </si>
  <si>
    <t>Yann : Remplissage de la BD avec des données factices</t>
  </si>
  <si>
    <t>..\Site\src\php\Ouvrage.php</t>
  </si>
  <si>
    <t>Clément : Corrections de multiples bugs un peu partout et ajout d'automatisation de la liste de catégorie et de livre</t>
  </si>
  <si>
    <t>Yann : Commencé à travailler sur le SQL</t>
  </si>
  <si>
    <t>Yann : Finit liste ouvrage</t>
  </si>
  <si>
    <t>Yann : Continué le système de vérification de cette page, pour le moment cela ne fonctionne pas XwX</t>
  </si>
  <si>
    <t xml:space="preserve">Clément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</si>
</sst>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fr.&quot;\ #,##0.00;[Red]&quot;fr.&quot;\ \-#,##0.00"/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8" fontId="2" fillId="0" borderId="2" xfId="1" applyNumberForma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hyperlink" Target="..\Site\src\php\Inscription.php" TargetMode="External"/><Relationship Id="rId18" Type="http://schemas.openxmlformats.org/officeDocument/2006/relationships/hyperlink" Target="..\Site\src\php\AddBook.php" TargetMode="External"/><Relationship Id="rId3" Type="http://schemas.openxmlformats.org/officeDocument/2006/relationships/hyperlink" Target="http://inf-n102-m603:8080/eds-modules/phpmyadmin4551x160823145809/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..\Site\src\php\after.php" TargetMode="External"/><Relationship Id="rId12" Type="http://schemas.openxmlformats.org/officeDocument/2006/relationships/hyperlink" Target="..\Site\src\php\AddBook.php" TargetMode="External"/><Relationship Id="rId17" Type="http://schemas.openxmlformats.org/officeDocument/2006/relationships/hyperlink" Target="..\Site\src\php\Ouvrage.php" TargetMode="External"/><Relationship Id="rId2" Type="http://schemas.openxmlformats.org/officeDocument/2006/relationships/hyperlink" Target="http://www.w3schools.com/bootstrap/default.asp" TargetMode="External"/><Relationship Id="rId16" Type="http://schemas.openxmlformats.org/officeDocument/2006/relationships/hyperlink" Target="..\Site\src\php\Ouvrage.php" TargetMode="External"/><Relationship Id="rId20" Type="http://schemas.openxmlformats.org/officeDocument/2006/relationships/drawing" Target="../drawings/drawing5.xm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hyperlink" Target="..\SQL\BD.sql" TargetMode="External"/><Relationship Id="rId5" Type="http://schemas.openxmlformats.org/officeDocument/2006/relationships/hyperlink" Target="..\Site\src\php\before.php" TargetMode="External"/><Relationship Id="rId15" Type="http://schemas.openxmlformats.org/officeDocument/2006/relationships/hyperlink" Target="..\Site\src\php\AddBook.php" TargetMode="External"/><Relationship Id="rId23" Type="http://schemas.openxmlformats.org/officeDocument/2006/relationships/image" Target="../media/image7.emf"/><Relationship Id="rId10" Type="http://schemas.openxmlformats.org/officeDocument/2006/relationships/hyperlink" Target="MCD-MLD.vsdx" TargetMode="External"/><Relationship Id="rId19" Type="http://schemas.openxmlformats.org/officeDocument/2006/relationships/printerSettings" Target="../printerSettings/printerSettings5.bin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hyperlink" Target="..\Site\src\php\classes\Misc.php" TargetMode="External"/><Relationship Id="rId22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3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4" t="s">
        <v>30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6"/>
      <c r="AB2" s="124" t="s">
        <v>31</v>
      </c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6"/>
      <c r="AZ2" s="124" t="s">
        <v>32</v>
      </c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6"/>
      <c r="BX2" s="124" t="s">
        <v>33</v>
      </c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/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6"/>
      <c r="CV2" s="124" t="s">
        <v>34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6"/>
      <c r="DT2" s="124" t="s">
        <v>35</v>
      </c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6"/>
      <c r="ER2" s="124" t="s">
        <v>36</v>
      </c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6"/>
      <c r="FP2" s="124" t="s">
        <v>37</v>
      </c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6"/>
      <c r="GN2" s="124" t="s">
        <v>38</v>
      </c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6"/>
      <c r="HL2" s="124" t="s">
        <v>39</v>
      </c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/>
      <c r="II2" s="126"/>
      <c r="IJ2" s="124" t="s">
        <v>40</v>
      </c>
      <c r="IK2" s="125"/>
      <c r="IL2" s="125"/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6"/>
      <c r="JH2" s="124" t="s">
        <v>41</v>
      </c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5"/>
      <c r="JW2" s="125"/>
      <c r="JX2" s="125"/>
      <c r="JY2" s="125"/>
      <c r="JZ2" s="125"/>
      <c r="KA2" s="125"/>
      <c r="KB2" s="125"/>
      <c r="KC2" s="125"/>
      <c r="KD2" s="125"/>
      <c r="KE2" s="126"/>
      <c r="KF2" s="124" t="s">
        <v>42</v>
      </c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/>
      <c r="KW2" s="125"/>
      <c r="KX2" s="125"/>
      <c r="KY2" s="125"/>
      <c r="KZ2" s="125"/>
      <c r="LA2" s="125"/>
      <c r="LB2" s="125"/>
      <c r="LC2" s="126"/>
      <c r="LD2" s="124" t="s">
        <v>43</v>
      </c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6"/>
      <c r="MB2" s="124" t="s">
        <v>44</v>
      </c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6"/>
    </row>
    <row r="3" spans="1:363" ht="19.5" customHeight="1" x14ac:dyDescent="0.2">
      <c r="A3" s="84"/>
      <c r="B3" s="127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8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2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3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2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3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2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3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2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3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2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3"/>
      <c r="C14" s="96">
        <v>18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115"/>
      <c r="IL14" s="115"/>
      <c r="IM14" s="115"/>
      <c r="IN14" s="115"/>
      <c r="IO14" s="116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2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3"/>
      <c r="C16" s="96">
        <v>11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114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114"/>
      <c r="KG16" s="115"/>
      <c r="KH16" s="115"/>
      <c r="KI16" s="115"/>
      <c r="KJ16" s="115"/>
      <c r="KK16" s="116"/>
      <c r="KL16" s="117"/>
      <c r="KM16" s="115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2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3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2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3"/>
      <c r="C20" s="96">
        <v>39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117"/>
      <c r="HY20" s="115"/>
      <c r="HZ20" s="115"/>
      <c r="IA20" s="115"/>
      <c r="IB20" s="115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115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2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3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2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3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2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3"/>
      <c r="C26" s="96">
        <v>34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115"/>
      <c r="II26" s="118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117"/>
      <c r="JC26" s="115"/>
      <c r="JD26" s="115"/>
      <c r="JE26" s="115"/>
      <c r="JF26" s="115"/>
      <c r="JG26" s="118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117"/>
      <c r="JU26" s="115"/>
      <c r="JV26" s="115"/>
      <c r="JW26" s="115"/>
      <c r="JX26" s="115"/>
      <c r="JY26" s="116"/>
      <c r="JZ26" s="117"/>
      <c r="KA26" s="115"/>
      <c r="KB26" s="115"/>
      <c r="KC26" s="115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115"/>
      <c r="KO26" s="115"/>
      <c r="KP26" s="115"/>
      <c r="KQ26" s="116"/>
      <c r="KR26" s="117"/>
      <c r="KS26" s="115"/>
      <c r="KT26" s="115"/>
      <c r="KU26" s="115"/>
      <c r="KV26" s="115"/>
      <c r="KW26" s="116"/>
      <c r="KX26" s="117"/>
      <c r="KY26" s="115"/>
      <c r="KZ26" s="115"/>
      <c r="LA26" s="115"/>
      <c r="LB26" s="115"/>
      <c r="LC26" s="118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2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3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2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3"/>
      <c r="C30" s="96">
        <v>42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116"/>
      <c r="ID30" s="117"/>
      <c r="IE30" s="115"/>
      <c r="IF30" s="115"/>
      <c r="IG30" s="115"/>
      <c r="IH30" s="91"/>
      <c r="II30" s="94"/>
      <c r="IJ30" s="90"/>
      <c r="IK30" s="91"/>
      <c r="IL30" s="91"/>
      <c r="IM30" s="91"/>
      <c r="IN30" s="91"/>
      <c r="IO30" s="92"/>
      <c r="IP30" s="117"/>
      <c r="IQ30" s="115"/>
      <c r="IR30" s="115"/>
      <c r="IS30" s="115"/>
      <c r="IT30" s="115"/>
      <c r="IU30" s="116"/>
      <c r="IV30" s="117"/>
      <c r="IW30" s="115"/>
      <c r="IX30" s="115"/>
      <c r="IY30" s="115"/>
      <c r="IZ30" s="115"/>
      <c r="JA30" s="116"/>
      <c r="JB30" s="93"/>
      <c r="JC30" s="91"/>
      <c r="JD30" s="91"/>
      <c r="JE30" s="91"/>
      <c r="JF30" s="91"/>
      <c r="JG30" s="94"/>
      <c r="JH30" s="114"/>
      <c r="JI30" s="115"/>
      <c r="JJ30" s="115"/>
      <c r="JK30" s="115"/>
      <c r="JL30" s="115"/>
      <c r="JM30" s="116"/>
      <c r="JN30" s="117"/>
      <c r="JO30" s="115"/>
      <c r="JP30" s="115"/>
      <c r="JQ30" s="115"/>
      <c r="JR30" s="115"/>
      <c r="JS30" s="116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118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2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3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2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3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2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3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2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3"/>
      <c r="C38" s="96">
        <v>13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116"/>
      <c r="HF38" s="117"/>
      <c r="HG38" s="115"/>
      <c r="HH38" s="115"/>
      <c r="HI38" s="115"/>
      <c r="HJ38" s="115"/>
      <c r="HK38" s="118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312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B35:B36"/>
    <mergeCell ref="B37:B38"/>
    <mergeCell ref="B15:B16"/>
    <mergeCell ref="B17:B18"/>
    <mergeCell ref="B19:B20"/>
    <mergeCell ref="B21:B22"/>
    <mergeCell ref="B23:B24"/>
    <mergeCell ref="B25:B26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9"/>
  <sheetViews>
    <sheetView tabSelected="1" view="pageBreakPreview" topLeftCell="A82" zoomScale="115" zoomScaleNormal="100" zoomScaleSheetLayoutView="115" workbookViewId="0">
      <selection activeCell="D93" sqref="D9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27" x14ac:dyDescent="0.2">
      <c r="A56" s="5" t="s">
        <v>92</v>
      </c>
      <c r="B56" s="6">
        <v>5</v>
      </c>
      <c r="C56" s="14" t="s">
        <v>110</v>
      </c>
      <c r="D56" s="14"/>
    </row>
    <row r="57" spans="1:4" ht="27.75" thickBot="1" x14ac:dyDescent="0.25">
      <c r="A57" s="5" t="s">
        <v>46</v>
      </c>
      <c r="B57" s="6">
        <v>7</v>
      </c>
      <c r="C57" s="14" t="s">
        <v>111</v>
      </c>
      <c r="D57" s="14"/>
    </row>
    <row r="58" spans="1:4" ht="14.25" thickBot="1" x14ac:dyDescent="0.25">
      <c r="A58" s="75" t="s">
        <v>22</v>
      </c>
      <c r="B58" s="75">
        <f>SUM(B55:B57)</f>
        <v>24</v>
      </c>
      <c r="C58" s="104" t="s">
        <v>73</v>
      </c>
      <c r="D58" s="76"/>
    </row>
    <row r="59" spans="1:4" ht="15" thickBot="1" x14ac:dyDescent="0.35">
      <c r="A59" s="77"/>
      <c r="B59" s="77"/>
      <c r="C59" s="77"/>
      <c r="D59" s="77"/>
    </row>
    <row r="60" spans="1:4" ht="18.75" thickBot="1" x14ac:dyDescent="0.25">
      <c r="A60" s="70" t="s">
        <v>14</v>
      </c>
      <c r="B60" s="71">
        <v>10</v>
      </c>
      <c r="C60" s="72" t="s">
        <v>23</v>
      </c>
      <c r="D60" s="81">
        <v>42808</v>
      </c>
    </row>
    <row r="61" spans="1:4" ht="27.75" thickBot="1" x14ac:dyDescent="0.25">
      <c r="A61" s="73" t="s">
        <v>3</v>
      </c>
      <c r="B61" s="74" t="s">
        <v>15</v>
      </c>
      <c r="C61" s="73" t="s">
        <v>7</v>
      </c>
      <c r="D61" s="73" t="s">
        <v>13</v>
      </c>
    </row>
    <row r="62" spans="1:4" ht="13.5" x14ac:dyDescent="0.2">
      <c r="A62" s="9" t="s">
        <v>21</v>
      </c>
      <c r="B62" s="8">
        <v>12</v>
      </c>
      <c r="C62" s="13" t="s">
        <v>105</v>
      </c>
      <c r="D62" s="13"/>
    </row>
    <row r="63" spans="1:4" ht="54" x14ac:dyDescent="0.2">
      <c r="A63" s="5" t="s">
        <v>92</v>
      </c>
      <c r="B63" s="6">
        <v>5</v>
      </c>
      <c r="C63" s="14" t="s">
        <v>100</v>
      </c>
      <c r="D63" s="113" t="s">
        <v>94</v>
      </c>
    </row>
    <row r="64" spans="1:4" ht="27" x14ac:dyDescent="0.2">
      <c r="A64" s="5" t="s">
        <v>55</v>
      </c>
      <c r="B64" s="6">
        <v>5</v>
      </c>
      <c r="C64" s="14" t="s">
        <v>101</v>
      </c>
      <c r="D64" s="14" t="s">
        <v>104</v>
      </c>
    </row>
    <row r="65" spans="1:4" ht="14.25" thickBot="1" x14ac:dyDescent="0.25">
      <c r="A65" s="5" t="s">
        <v>53</v>
      </c>
      <c r="B65" s="6">
        <v>2</v>
      </c>
      <c r="C65" s="14" t="s">
        <v>102</v>
      </c>
      <c r="D65" s="113" t="s">
        <v>103</v>
      </c>
    </row>
    <row r="66" spans="1:4" ht="14.25" thickBot="1" x14ac:dyDescent="0.25">
      <c r="A66" s="75" t="s">
        <v>22</v>
      </c>
      <c r="B66" s="75">
        <f>SUM(B62:B65)</f>
        <v>24</v>
      </c>
      <c r="C66" s="104" t="s">
        <v>73</v>
      </c>
      <c r="D66" s="76"/>
    </row>
    <row r="67" spans="1:4" ht="15" thickBot="1" x14ac:dyDescent="0.35">
      <c r="A67" s="77"/>
      <c r="B67" s="77"/>
      <c r="C67" s="77"/>
      <c r="D67" s="77"/>
    </row>
    <row r="68" spans="1:4" ht="18.75" thickBot="1" x14ac:dyDescent="0.25">
      <c r="A68" s="70" t="s">
        <v>14</v>
      </c>
      <c r="B68" s="71">
        <v>11</v>
      </c>
      <c r="C68" s="72" t="s">
        <v>23</v>
      </c>
      <c r="D68" s="81">
        <v>42815</v>
      </c>
    </row>
    <row r="69" spans="1:4" ht="27.75" thickBot="1" x14ac:dyDescent="0.25">
      <c r="A69" s="73" t="s">
        <v>3</v>
      </c>
      <c r="B69" s="74" t="s">
        <v>15</v>
      </c>
      <c r="C69" s="73" t="s">
        <v>7</v>
      </c>
      <c r="D69" s="73" t="s">
        <v>13</v>
      </c>
    </row>
    <row r="70" spans="1:4" ht="27" x14ac:dyDescent="0.2">
      <c r="A70" s="9" t="s">
        <v>29</v>
      </c>
      <c r="B70" s="8">
        <v>1</v>
      </c>
      <c r="C70" s="13" t="s">
        <v>108</v>
      </c>
      <c r="D70" s="112" t="s">
        <v>109</v>
      </c>
    </row>
    <row r="71" spans="1:4" ht="13.5" x14ac:dyDescent="0.2">
      <c r="A71" s="5" t="s">
        <v>27</v>
      </c>
      <c r="B71" s="6">
        <v>5</v>
      </c>
      <c r="C71" s="14" t="s">
        <v>106</v>
      </c>
      <c r="D71" s="119" t="s">
        <v>107</v>
      </c>
    </row>
    <row r="72" spans="1:4" ht="27" x14ac:dyDescent="0.2">
      <c r="A72" s="5" t="s">
        <v>55</v>
      </c>
      <c r="B72" s="6">
        <v>12</v>
      </c>
      <c r="C72" s="14" t="s">
        <v>115</v>
      </c>
      <c r="D72" s="113" t="s">
        <v>113</v>
      </c>
    </row>
    <row r="73" spans="1:4" ht="14.25" thickBot="1" x14ac:dyDescent="0.25">
      <c r="A73" s="5" t="s">
        <v>53</v>
      </c>
      <c r="B73" s="6">
        <v>6</v>
      </c>
      <c r="C73" s="14" t="s">
        <v>112</v>
      </c>
      <c r="D73" s="113" t="s">
        <v>103</v>
      </c>
    </row>
    <row r="74" spans="1:4" ht="14.25" thickBot="1" x14ac:dyDescent="0.25">
      <c r="A74" s="75" t="s">
        <v>22</v>
      </c>
      <c r="B74" s="75">
        <f>SUM(B70:B73)</f>
        <v>24</v>
      </c>
      <c r="C74" s="104" t="s">
        <v>73</v>
      </c>
      <c r="D74" s="76"/>
    </row>
    <row r="75" spans="1:4" ht="15" thickBot="1" x14ac:dyDescent="0.35">
      <c r="A75" s="77"/>
      <c r="B75" s="77"/>
      <c r="C75" s="77"/>
      <c r="D75" s="77"/>
    </row>
    <row r="76" spans="1:4" ht="18.75" thickBot="1" x14ac:dyDescent="0.25">
      <c r="A76" s="70" t="s">
        <v>14</v>
      </c>
      <c r="B76" s="71">
        <v>12</v>
      </c>
      <c r="C76" s="72" t="s">
        <v>23</v>
      </c>
      <c r="D76" s="81">
        <v>42822</v>
      </c>
    </row>
    <row r="77" spans="1:4" ht="27.75" thickBot="1" x14ac:dyDescent="0.25">
      <c r="A77" s="73" t="s">
        <v>3</v>
      </c>
      <c r="B77" s="74" t="s">
        <v>15</v>
      </c>
      <c r="C77" s="73" t="s">
        <v>7</v>
      </c>
      <c r="D77" s="73" t="s">
        <v>13</v>
      </c>
    </row>
    <row r="78" spans="1:4" ht="27" x14ac:dyDescent="0.2">
      <c r="A78" s="9" t="s">
        <v>55</v>
      </c>
      <c r="B78" s="8">
        <v>12</v>
      </c>
      <c r="C78" s="13" t="s">
        <v>114</v>
      </c>
      <c r="D78" s="13"/>
    </row>
    <row r="79" spans="1:4" ht="13.5" x14ac:dyDescent="0.2">
      <c r="A79" s="5" t="s">
        <v>53</v>
      </c>
      <c r="B79" s="6">
        <v>10</v>
      </c>
      <c r="C79" s="14" t="s">
        <v>117</v>
      </c>
      <c r="D79" s="113" t="s">
        <v>103</v>
      </c>
    </row>
    <row r="80" spans="1:4" ht="40.5" x14ac:dyDescent="0.2">
      <c r="A80" s="5" t="s">
        <v>92</v>
      </c>
      <c r="B80" s="6">
        <v>1</v>
      </c>
      <c r="C80" s="14" t="s">
        <v>118</v>
      </c>
      <c r="D80" s="113" t="s">
        <v>116</v>
      </c>
    </row>
    <row r="81" spans="1:4" ht="27.75" thickBot="1" x14ac:dyDescent="0.25">
      <c r="A81" s="5" t="s">
        <v>55</v>
      </c>
      <c r="B81" s="6">
        <v>1</v>
      </c>
      <c r="C81" s="14" t="s">
        <v>119</v>
      </c>
      <c r="D81" s="14"/>
    </row>
    <row r="82" spans="1:4" ht="14.25" thickBot="1" x14ac:dyDescent="0.25">
      <c r="A82" s="75" t="s">
        <v>22</v>
      </c>
      <c r="B82" s="75">
        <f>SUM(B78:B81)</f>
        <v>24</v>
      </c>
      <c r="C82" s="104" t="s">
        <v>73</v>
      </c>
      <c r="D82" s="76"/>
    </row>
    <row r="83" spans="1:4" ht="15" thickBot="1" x14ac:dyDescent="0.35">
      <c r="A83" s="77"/>
      <c r="B83" s="77"/>
      <c r="C83" s="77"/>
      <c r="D83" s="77"/>
    </row>
    <row r="84" spans="1:4" ht="18.75" thickBot="1" x14ac:dyDescent="0.25">
      <c r="A84" s="70" t="s">
        <v>14</v>
      </c>
      <c r="B84" s="71">
        <v>13</v>
      </c>
      <c r="C84" s="72" t="s">
        <v>23</v>
      </c>
      <c r="D84" s="81">
        <v>42829</v>
      </c>
    </row>
    <row r="85" spans="1:4" ht="27.75" thickBot="1" x14ac:dyDescent="0.25">
      <c r="A85" s="73" t="s">
        <v>3</v>
      </c>
      <c r="B85" s="74" t="s">
        <v>15</v>
      </c>
      <c r="C85" s="73" t="s">
        <v>7</v>
      </c>
      <c r="D85" s="73" t="s">
        <v>13</v>
      </c>
    </row>
    <row r="86" spans="1:4" ht="27" x14ac:dyDescent="0.2">
      <c r="A86" s="9" t="s">
        <v>29</v>
      </c>
      <c r="B86" s="8">
        <v>8</v>
      </c>
      <c r="C86" s="13" t="s">
        <v>120</v>
      </c>
      <c r="D86" s="112" t="s">
        <v>121</v>
      </c>
    </row>
    <row r="87" spans="1:4" ht="13.5" x14ac:dyDescent="0.2">
      <c r="A87" s="5" t="s">
        <v>53</v>
      </c>
      <c r="B87" s="6">
        <v>4</v>
      </c>
      <c r="C87" s="14" t="s">
        <v>123</v>
      </c>
      <c r="D87" s="14"/>
    </row>
    <row r="88" spans="1:4" ht="27.75" thickBot="1" x14ac:dyDescent="0.25">
      <c r="A88" s="5" t="s">
        <v>53</v>
      </c>
      <c r="B88" s="6">
        <v>12</v>
      </c>
      <c r="C88" s="14" t="s">
        <v>122</v>
      </c>
      <c r="D88" s="14"/>
    </row>
    <row r="89" spans="1:4" ht="14.25" thickBot="1" x14ac:dyDescent="0.25">
      <c r="A89" s="75" t="s">
        <v>22</v>
      </c>
      <c r="B89" s="75">
        <f>SUM(B86:B88)</f>
        <v>24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14</v>
      </c>
      <c r="C91" s="72" t="s">
        <v>23</v>
      </c>
      <c r="D91" s="81">
        <v>42850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13.5" x14ac:dyDescent="0.2">
      <c r="A93" s="9" t="s">
        <v>52</v>
      </c>
      <c r="B93" s="8">
        <v>12</v>
      </c>
      <c r="C93" s="13" t="s">
        <v>126</v>
      </c>
      <c r="D93" s="13"/>
    </row>
    <row r="94" spans="1:4" ht="13.5" x14ac:dyDescent="0.2">
      <c r="A94" s="5" t="s">
        <v>52</v>
      </c>
      <c r="B94" s="6">
        <v>8</v>
      </c>
      <c r="C94" s="14" t="s">
        <v>124</v>
      </c>
      <c r="D94" s="113" t="s">
        <v>121</v>
      </c>
    </row>
    <row r="95" spans="1:4" ht="27" x14ac:dyDescent="0.2">
      <c r="A95" s="5" t="s">
        <v>53</v>
      </c>
      <c r="B95" s="6">
        <v>4</v>
      </c>
      <c r="C95" s="14" t="s">
        <v>125</v>
      </c>
      <c r="D95" s="113" t="s">
        <v>103</v>
      </c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24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15</v>
      </c>
      <c r="C110" s="72" t="s">
        <v>23</v>
      </c>
      <c r="D110" s="81">
        <v>42857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0</v>
      </c>
      <c r="C127" s="104" t="s">
        <v>73</v>
      </c>
      <c r="D127" s="76"/>
    </row>
    <row r="128" spans="1:4" ht="14.25" x14ac:dyDescent="0.3">
      <c r="A128" s="77"/>
      <c r="B128" s="77"/>
      <c r="C128" s="77"/>
      <c r="D128" s="77"/>
    </row>
    <row r="129" spans="1:1" x14ac:dyDescent="0.2">
      <c r="A129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12:B126 B32:B38 B43 B48:B50 B55:B57 B62:B65 B70:B73 B86:B88 B93:B107 B25:B27 B78:B8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58 B66 B74 B82 B89 B108 B127">
      <formula1>0</formula1>
      <formula2>NbPerWeek * NbQuartPer</formula2>
    </dataValidation>
    <dataValidation type="list" allowBlank="1" showInputMessage="1" showErrorMessage="1" sqref="A3:A5 A10 A15 A20 A112:A126 A32:A38 A43 A48:A50 A55:A57 A62:A65 A70:A73 A86:A88 A93:A107 A25:A27 A78:A81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65" r:id="rId8"/>
    <hyperlink ref="D63" r:id="rId9"/>
    <hyperlink ref="D71" r:id="rId10"/>
    <hyperlink ref="D70" r:id="rId11"/>
    <hyperlink ref="D73" r:id="rId12"/>
    <hyperlink ref="D72" r:id="rId13"/>
    <hyperlink ref="D80" r:id="rId14"/>
    <hyperlink ref="D79" r:id="rId15"/>
    <hyperlink ref="D86" r:id="rId16"/>
    <hyperlink ref="D94" r:id="rId17"/>
    <hyperlink ref="D95" r:id="rId18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9"/>
  <headerFooter>
    <oddHeader>&amp;L&amp;"ETML L,Normal"&amp;24ETML</oddHeader>
    <oddFooter>&amp;C&amp;F&amp;L&amp;D</oddFooter>
  </headerFooter>
  <drawing r:id="rId20"/>
  <legacyDrawing r:id="rId21"/>
  <controls>
    <mc:AlternateContent xmlns:mc="http://schemas.openxmlformats.org/markup-compatibility/2006">
      <mc:Choice Requires="x14">
        <control shapeId="54273" r:id="rId22" name="btnImportRealisation">
          <controlPr defaultSize="0" autoLine="0" r:id="rId2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22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2017-04-25T14:35:26Z</dcterms:modified>
  <cp:contentStatus>Version 8.0</cp:contentStatus>
</cp:coreProperties>
</file>