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\040-P_Web2\Git\Doc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7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Diagramme!$B$3:$B$38</definedName>
    <definedName name="lstTasks">Donnees!$C$20:$C$45</definedName>
    <definedName name="NbLessons">Diagramme!$C$3:$C$38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JNLTRAV!$A$1:$D$7</definedName>
    <definedName name="_xlnm.Print_Area" localSheetId="1">Diagramme!$A$1:$MZ$41</definedName>
    <definedName name="_xlnm.Print_Area" localSheetId="0">Donnees!$A$1:$G$54</definedName>
    <definedName name="_xlnm.Print_Area" localSheetId="7">JNLTRAV!$A$1:$D$185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7" i="170" l="1"/>
  <c r="B35" i="170"/>
  <c r="B33" i="170"/>
  <c r="B31" i="170"/>
  <c r="B29" i="170"/>
  <c r="B27" i="170"/>
  <c r="B25" i="170"/>
  <c r="B23" i="170"/>
  <c r="B21" i="170"/>
  <c r="B19" i="170"/>
  <c r="B17" i="170"/>
  <c r="B15" i="170"/>
  <c r="B13" i="170"/>
  <c r="B11" i="170"/>
  <c r="B9" i="170"/>
  <c r="B7" i="170"/>
  <c r="B5" i="170"/>
  <c r="C40" i="170"/>
  <c r="C39" i="170"/>
  <c r="B184" i="168" l="1"/>
  <c r="B165" i="168"/>
  <c r="B146" i="168"/>
  <c r="B127" i="168"/>
  <c r="B108" i="168"/>
  <c r="B89" i="168"/>
  <c r="B70" i="168"/>
  <c r="B51" i="168"/>
  <c r="B44" i="168"/>
  <c r="B39" i="168"/>
  <c r="B28" i="168"/>
  <c r="B21" i="168"/>
  <c r="B16" i="168"/>
  <c r="B11" i="168"/>
  <c r="B6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<sst xmlns="http://schemas.openxmlformats.org/spreadsheetml/2006/main" count="427" uniqueCount="113">
  <si>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</si>
  <si>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</si>
  <si>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</si>
  <si>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</si>
  <si>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</si>
  <si>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</si>
  <si>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</si>
  <si>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</si>
  <si>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</si>
  <si>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</si>
  <si>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</si>
  <si>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</si>
  <si>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</si>
  <si>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</si>
  <si>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</si>
  <si>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</si>
  <si>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</si>
  <si>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</si>
  <si>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</si>
  <si>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</si>
  <si>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</si>
  <si>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</si>
  <si>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</si>
  <si>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</si>
  <si>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</si>
  <si>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</si>
  <si>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</si>
  <si>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</si>
  <si>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</si>
  <si>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</si>
  <si>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</si>
  <si>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</si>
  <si>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</si>
  <si>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</si>
  <si>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</si>
  <si>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</si>
  <si>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</si>
  <si>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</si>
  <si>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</si>
  <si>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</si>
  <si>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</si>
  <si>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</si>
  <si>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</si>
  <si>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</si>
  <si>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</si>
  <si>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</si>
  <si>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</si>
  <si>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</si>
  <si>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</si>
  <si>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</si>
  <si>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</si>
  <si>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</si>
  <si>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</si>
  <si>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</si>
  <si>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</si>
  <si>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</si>
  <si>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</si>
  <si>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</si>
  <si>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</si>
  <si>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</si>
  <si>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</si>
  <si>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</si>
  <si>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</si>
  <si>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</si>
  <si>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</si>
  <si>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</si>
  <si>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</si>
  <si>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</si>
  <si>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</si>
  <si>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</si>
  <si>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</si>
  <si>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</si>
  <si>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</si>
  <si>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</si>
  <si>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</si>
  <si>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</si>
  <si>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</si>
  <si>
    <t>Cours sur le javascript</t>
  </si>
  <si>
    <t>Yann: Malade</t>
  </si>
  <si>
    <t>Clément: Fin du cours sur le javascript</t>
  </si>
  <si>
    <t>Clément: Reprise du MCD pour voir s'il ne faut pas ajouter encore quelque chose ou corrigé d'autre chose, =&gt; Ajoute d'un attribut pour le mot de passe de l'utilisateur</t>
  </si>
  <si>
    <t>Groupe : Validation MCD + remise en route</t>
  </si>
  <si>
    <t>w3schools.com/bootsrap</t>
  </si>
  <si>
    <t>Groupe : Innitiation à la librairie Bootstrap en consultant tout les différent exemple proposés sur W3S</t>
  </si>
  <si>
    <t>PHPMyAdmin Page (Require the server running)</t>
  </si>
  <si>
    <t>Yann : Création d'une suite EasyPhp (16.1) neuve, Accessible depuis l'extérieur (INF-N102-M603:3306) : 
2 Comptes : root (Contrôle total du serveur), et P_Web2Client (Contrôle total sur la base de donnée "db_p_web"
MDP : .Etml-44</t>
  </si>
  <si>
    <t>Yann : Création du script constructeur de la base de donnée, qui créé "bd_p_web"</t>
  </si>
  <si>
    <t>Yann : Implémentation de ce script sur le serv</t>
  </si>
  <si>
    <t>Clément: Création de la maquette du site</t>
  </si>
  <si>
    <t>https://wireframepro.mockflow.com/view/Dfa61408614b96b1d72c5ed318874db3e</t>
  </si>
  <si>
    <t>Clément: Création de la maquette du site en php</t>
  </si>
  <si>
    <t>Groupe : Vacances \o/</t>
  </si>
  <si>
    <t>Site : Maquette (PHP)</t>
  </si>
  <si>
    <t>Clément : Réalisation de la page before.php</t>
  </si>
  <si>
    <t>..\Site\src\php\before.php</t>
  </si>
  <si>
    <t>Yann : Réalisation d'un fichier .htaccess qui permet de grandement raccourcir les URL, et de les rentres plus lisibles en général</t>
  </si>
  <si>
    <t>..\Site\.htaccess</t>
  </si>
  <si>
    <t>Yann : Réalisation du fichier after.php, plus assistance de Clément pour le before</t>
  </si>
  <si>
    <t>..\Site\src\php\after.php</t>
  </si>
  <si>
    <t>Yann : Réalisation de la page de login, accessible depuis le bouton Connexion, et qui redirige vers la page précédente une fois connecté</t>
  </si>
  <si>
    <t>Yann : Correction d'un bug avec le titre de la page
Yann : Ajout du popup de connection / déconnexion
Yann : Changé le $_SESSION["isConnected"] en "userID", contenant directement l'ID de l'user, et réglé à null si l'utilisateur n'est pas connecté</t>
  </si>
  <si>
    <t>Yann : Création du système de login, pour le moment relié à un document texte
Yann : Ajout de la page de déconnexion</t>
  </si>
  <si>
    <t>Yann : Commencé le formulaire d'ajout de livre</t>
  </si>
  <si>
    <t>..\Site\src\php\AddBook.php</t>
  </si>
  <si>
    <t>..\Site\src\php\login.php
..\Site\src\php\logout.php</t>
  </si>
  <si>
    <t>Clément : Absent, journée d'information militaire</t>
  </si>
  <si>
    <t>Yann : Modélisation du MCD et du MLD sur visio</t>
  </si>
  <si>
    <t>MCD-MLD.vsdx</t>
  </si>
  <si>
    <t>Yann : Changement mot de passe utilisateur à une taille de 80 pour le hashage</t>
  </si>
  <si>
    <t>..\SQL\BD.sql</t>
  </si>
  <si>
    <t>Clément: Ajout de la page d'inscription, avec la sauvegarde dans la base mysql</t>
  </si>
  <si>
    <t>Clément : Ajout des alertes dans la page before.php lors de la connection et de la déconnexion</t>
  </si>
  <si>
    <t>Clément : Ajout d'une page pour l'erreur 404 et 401 et modification du .htacces pour la page 404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</si>
</sst>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fr.&quot;\ #,##0.00;[Red]&quot;fr.&quot;\ \-#,##0.00"/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8" fontId="2" fillId="0" borderId="2" xfId="1" applyNumberForma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Site\src\php\AddBook.php" TargetMode="External"/><Relationship Id="rId13" Type="http://schemas.openxmlformats.org/officeDocument/2006/relationships/drawing" Target="../drawings/drawing5.xml"/><Relationship Id="rId3" Type="http://schemas.openxmlformats.org/officeDocument/2006/relationships/hyperlink" Target="http://inf-n102-m603:8080/eds-modules/phpmyadmin4551x160823145809/" TargetMode="External"/><Relationship Id="rId7" Type="http://schemas.openxmlformats.org/officeDocument/2006/relationships/hyperlink" Target="..\Site\src\php\after.php" TargetMode="External"/><Relationship Id="rId12" Type="http://schemas.openxmlformats.org/officeDocument/2006/relationships/printerSettings" Target="../printerSettings/printerSettings5.bin"/><Relationship Id="rId2" Type="http://schemas.openxmlformats.org/officeDocument/2006/relationships/hyperlink" Target="http://www.w3schools.com/bootstrap/default.asp" TargetMode="External"/><Relationship Id="rId16" Type="http://schemas.openxmlformats.org/officeDocument/2006/relationships/image" Target="../media/image7.emf"/><Relationship Id="rId1" Type="http://schemas.openxmlformats.org/officeDocument/2006/relationships/hyperlink" Target="E-P_Web2-AMG001-CdC.pdf" TargetMode="External"/><Relationship Id="rId6" Type="http://schemas.openxmlformats.org/officeDocument/2006/relationships/hyperlink" Target="..\Site\.htaccess" TargetMode="External"/><Relationship Id="rId11" Type="http://schemas.openxmlformats.org/officeDocument/2006/relationships/hyperlink" Target="..\SQL\BD.sql" TargetMode="External"/><Relationship Id="rId5" Type="http://schemas.openxmlformats.org/officeDocument/2006/relationships/hyperlink" Target="..\Site\src\php\before.php" TargetMode="External"/><Relationship Id="rId15" Type="http://schemas.openxmlformats.org/officeDocument/2006/relationships/control" Target="../activeX/activeX7.xml"/><Relationship Id="rId10" Type="http://schemas.openxmlformats.org/officeDocument/2006/relationships/hyperlink" Target="MCD-MLD.vsdx" TargetMode="External"/><Relationship Id="rId4" Type="http://schemas.openxmlformats.org/officeDocument/2006/relationships/hyperlink" Target="https://wireframepro.mockflow.com/view/Dfa61408614b96b1d72c5ed318874db3e" TargetMode="External"/><Relationship Id="rId9" Type="http://schemas.openxmlformats.org/officeDocument/2006/relationships/hyperlink" Target="..\Site\src\php\before.php" TargetMode="External"/><Relationship Id="rId1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5" zoomScaleNormal="100" workbookViewId="0">
      <selection activeCell="C28" sqref="C2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0" t="s">
        <v>19</v>
      </c>
      <c r="C19" s="121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92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51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52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54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55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56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71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72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 t="s">
        <v>46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40"/>
  <sheetViews>
    <sheetView view="pageBreakPreview" topLeftCell="AY1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22" t="s">
        <v>30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4"/>
      <c r="AB2" s="122" t="s">
        <v>31</v>
      </c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4"/>
      <c r="AZ2" s="122" t="s">
        <v>32</v>
      </c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4"/>
      <c r="BX2" s="122" t="s">
        <v>33</v>
      </c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4"/>
      <c r="CV2" s="122" t="s">
        <v>34</v>
      </c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4"/>
      <c r="DT2" s="122" t="s">
        <v>35</v>
      </c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4"/>
      <c r="ER2" s="122" t="s">
        <v>36</v>
      </c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4"/>
      <c r="FP2" s="122" t="s">
        <v>37</v>
      </c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4"/>
      <c r="GN2" s="122" t="s">
        <v>38</v>
      </c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4"/>
      <c r="HL2" s="122" t="s">
        <v>39</v>
      </c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4"/>
      <c r="IJ2" s="122" t="s">
        <v>40</v>
      </c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4"/>
      <c r="JH2" s="122" t="s">
        <v>41</v>
      </c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3"/>
      <c r="JW2" s="123"/>
      <c r="JX2" s="123"/>
      <c r="JY2" s="123"/>
      <c r="JZ2" s="123"/>
      <c r="KA2" s="123"/>
      <c r="KB2" s="123"/>
      <c r="KC2" s="123"/>
      <c r="KD2" s="123"/>
      <c r="KE2" s="124"/>
      <c r="KF2" s="122" t="s">
        <v>42</v>
      </c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4"/>
      <c r="LD2" s="122" t="s">
        <v>43</v>
      </c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4"/>
      <c r="MB2" s="122" t="s">
        <v>44</v>
      </c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4"/>
    </row>
    <row r="3" spans="1:363" ht="19.5" customHeight="1" x14ac:dyDescent="0.2">
      <c r="A3" s="84"/>
      <c r="B3" s="127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8"/>
      <c r="C4" s="44">
        <v>130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114"/>
      <c r="AC4" s="115"/>
      <c r="AD4" s="115"/>
      <c r="AE4" s="115"/>
      <c r="AF4" s="115"/>
      <c r="AG4" s="116"/>
      <c r="AH4" s="117"/>
      <c r="AI4" s="115"/>
      <c r="AJ4" s="115"/>
      <c r="AK4" s="115"/>
      <c r="AL4" s="115"/>
      <c r="AM4" s="116"/>
      <c r="AN4" s="117"/>
      <c r="AO4" s="115"/>
      <c r="AP4" s="115"/>
      <c r="AQ4" s="115"/>
      <c r="AR4" s="115"/>
      <c r="AS4" s="116"/>
      <c r="AT4" s="117"/>
      <c r="AU4" s="115"/>
      <c r="AV4" s="115"/>
      <c r="AW4" s="115"/>
      <c r="AX4" s="115"/>
      <c r="AY4" s="118"/>
      <c r="AZ4" s="114"/>
      <c r="BA4" s="115"/>
      <c r="BB4" s="115"/>
      <c r="BC4" s="115"/>
      <c r="BD4" s="115"/>
      <c r="BE4" s="116"/>
      <c r="BF4" s="117"/>
      <c r="BG4" s="115"/>
      <c r="BH4" s="115"/>
      <c r="BI4" s="115"/>
      <c r="BJ4" s="115"/>
      <c r="BK4" s="116"/>
      <c r="BL4" s="117"/>
      <c r="BM4" s="115"/>
      <c r="BN4" s="115"/>
      <c r="BO4" s="115"/>
      <c r="BP4" s="115"/>
      <c r="BQ4" s="116"/>
      <c r="BR4" s="117"/>
      <c r="BS4" s="115"/>
      <c r="BT4" s="115"/>
      <c r="BU4" s="115"/>
      <c r="BV4" s="115"/>
      <c r="BW4" s="118"/>
      <c r="BX4" s="114"/>
      <c r="BY4" s="115"/>
      <c r="BZ4" s="115"/>
      <c r="CA4" s="115"/>
      <c r="CB4" s="115"/>
      <c r="CC4" s="116"/>
      <c r="CD4" s="117"/>
      <c r="CE4" s="115"/>
      <c r="CF4" s="115"/>
      <c r="CG4" s="115"/>
      <c r="CH4" s="115"/>
      <c r="CI4" s="116"/>
      <c r="CJ4" s="117"/>
      <c r="CK4" s="115"/>
      <c r="CL4" s="115"/>
      <c r="CM4" s="115"/>
      <c r="CN4" s="115"/>
      <c r="CO4" s="116"/>
      <c r="CP4" s="117"/>
      <c r="CQ4" s="115"/>
      <c r="CR4" s="115"/>
      <c r="CS4" s="115"/>
      <c r="CT4" s="115"/>
      <c r="CU4" s="118"/>
      <c r="CV4" s="114"/>
      <c r="CW4" s="115"/>
      <c r="CX4" s="115"/>
      <c r="CY4" s="115"/>
      <c r="CZ4" s="115"/>
      <c r="DA4" s="116"/>
      <c r="DB4" s="117"/>
      <c r="DC4" s="115"/>
      <c r="DD4" s="115"/>
      <c r="DE4" s="115"/>
      <c r="DF4" s="115"/>
      <c r="DG4" s="116"/>
      <c r="DH4" s="117"/>
      <c r="DI4" s="115"/>
      <c r="DJ4" s="115"/>
      <c r="DK4" s="115"/>
      <c r="DL4" s="115"/>
      <c r="DM4" s="116"/>
      <c r="DN4" s="117"/>
      <c r="DO4" s="115"/>
      <c r="DP4" s="115"/>
      <c r="DQ4" s="115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114"/>
      <c r="ES4" s="115"/>
      <c r="ET4" s="115"/>
      <c r="EU4" s="115"/>
      <c r="EV4" s="115"/>
      <c r="EW4" s="116"/>
      <c r="EX4" s="117"/>
      <c r="EY4" s="115"/>
      <c r="EZ4" s="115"/>
      <c r="FA4" s="115"/>
      <c r="FB4" s="115"/>
      <c r="FC4" s="116"/>
      <c r="FD4" s="117"/>
      <c r="FE4" s="115"/>
      <c r="FF4" s="115"/>
      <c r="FG4" s="115"/>
      <c r="FH4" s="115"/>
      <c r="FI4" s="116"/>
      <c r="FJ4" s="117"/>
      <c r="FK4" s="115"/>
      <c r="FL4" s="115"/>
      <c r="FM4" s="115"/>
      <c r="FN4" s="115"/>
      <c r="FO4" s="118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114"/>
      <c r="HM4" s="115"/>
      <c r="HN4" s="115"/>
      <c r="HO4" s="115"/>
      <c r="HP4" s="115"/>
      <c r="HQ4" s="116"/>
      <c r="HR4" s="117"/>
      <c r="HS4" s="115"/>
      <c r="HT4" s="115"/>
      <c r="HU4" s="115"/>
      <c r="HV4" s="115"/>
      <c r="HW4" s="116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25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26"/>
      <c r="C6" s="96">
        <v>10</v>
      </c>
      <c r="D6" s="114"/>
      <c r="E6" s="115"/>
      <c r="F6" s="115"/>
      <c r="G6" s="115"/>
      <c r="H6" s="115"/>
      <c r="I6" s="116"/>
      <c r="J6" s="117"/>
      <c r="K6" s="115"/>
      <c r="L6" s="115"/>
      <c r="M6" s="115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25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26"/>
      <c r="C8" s="96">
        <v>6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115"/>
      <c r="O8" s="116"/>
      <c r="P8" s="117"/>
      <c r="Q8" s="115"/>
      <c r="R8" s="115"/>
      <c r="S8" s="115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25" t="str">
        <f>Donnees!$C$23</f>
        <v>Doc : Maquette Site</v>
      </c>
      <c r="C9" s="95">
        <v>8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85"/>
      <c r="BA9" s="86"/>
      <c r="BB9" s="86"/>
      <c r="BC9" s="86"/>
      <c r="BD9" s="86"/>
      <c r="BE9" s="87"/>
      <c r="BF9" s="88"/>
      <c r="BG9" s="86"/>
      <c r="BH9" s="86"/>
      <c r="BI9" s="86"/>
      <c r="BJ9" s="86"/>
      <c r="BK9" s="87"/>
      <c r="BL9" s="88"/>
      <c r="BM9" s="86"/>
      <c r="BN9" s="86"/>
      <c r="BO9" s="86"/>
      <c r="BP9" s="86"/>
      <c r="BQ9" s="87"/>
      <c r="BR9" s="88"/>
      <c r="BS9" s="86"/>
      <c r="BT9" s="86"/>
      <c r="BU9" s="86"/>
      <c r="BV9" s="86"/>
      <c r="BW9" s="89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26"/>
      <c r="C10" s="96">
        <v>4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115"/>
      <c r="EK10" s="116"/>
      <c r="EL10" s="117"/>
      <c r="EM10" s="115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25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26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25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26"/>
      <c r="C14" s="96">
        <v>13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115"/>
      <c r="U14" s="116"/>
      <c r="V14" s="117"/>
      <c r="W14" s="115"/>
      <c r="X14" s="115"/>
      <c r="Y14" s="115"/>
      <c r="Z14" s="115"/>
      <c r="AA14" s="118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115"/>
      <c r="DS14" s="118"/>
      <c r="DT14" s="114"/>
      <c r="DU14" s="115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115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91"/>
      <c r="IL14" s="91"/>
      <c r="IM14" s="91"/>
      <c r="IN14" s="91"/>
      <c r="IO14" s="92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25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26"/>
      <c r="C16" s="96">
        <v>2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91"/>
      <c r="EH16" s="115"/>
      <c r="EI16" s="115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90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25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26"/>
      <c r="C18" s="96">
        <v>5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115"/>
      <c r="EC18" s="115"/>
      <c r="ED18" s="115"/>
      <c r="EE18" s="116"/>
      <c r="EF18" s="117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25" t="str">
        <f>Donnees!$C$28</f>
        <v>Site : Maquette (PHP)</v>
      </c>
      <c r="C19" s="95">
        <v>24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107"/>
      <c r="BA19" s="108"/>
      <c r="BB19" s="108"/>
      <c r="BC19" s="108"/>
      <c r="BD19" s="108"/>
      <c r="BE19" s="109"/>
      <c r="BF19" s="110"/>
      <c r="BG19" s="108"/>
      <c r="BH19" s="108"/>
      <c r="BI19" s="108"/>
      <c r="BJ19" s="108"/>
      <c r="BK19" s="109"/>
      <c r="BL19" s="110"/>
      <c r="BM19" s="108"/>
      <c r="BN19" s="108"/>
      <c r="BO19" s="108"/>
      <c r="BP19" s="108"/>
      <c r="BQ19" s="109"/>
      <c r="BR19" s="110"/>
      <c r="BS19" s="108"/>
      <c r="BT19" s="108"/>
      <c r="BU19" s="108"/>
      <c r="BV19" s="108"/>
      <c r="BW19" s="111"/>
      <c r="BX19" s="85"/>
      <c r="BY19" s="86"/>
      <c r="BZ19" s="86"/>
      <c r="CA19" s="86"/>
      <c r="CB19" s="86"/>
      <c r="CC19" s="87"/>
      <c r="CD19" s="88"/>
      <c r="CE19" s="86"/>
      <c r="CF19" s="86"/>
      <c r="CG19" s="86"/>
      <c r="CH19" s="86"/>
      <c r="CI19" s="87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26"/>
      <c r="C20" s="96">
        <v>40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115"/>
      <c r="EO20" s="115"/>
      <c r="EP20" s="115"/>
      <c r="EQ20" s="118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114"/>
      <c r="FQ20" s="115"/>
      <c r="FR20" s="115"/>
      <c r="FS20" s="115"/>
      <c r="FT20" s="115"/>
      <c r="FU20" s="116"/>
      <c r="FV20" s="117"/>
      <c r="FW20" s="115"/>
      <c r="FX20" s="115"/>
      <c r="FY20" s="115"/>
      <c r="FZ20" s="115"/>
      <c r="GA20" s="116"/>
      <c r="GB20" s="117"/>
      <c r="GC20" s="115"/>
      <c r="GD20" s="115"/>
      <c r="GE20" s="115"/>
      <c r="GF20" s="115"/>
      <c r="GG20" s="116"/>
      <c r="GH20" s="117"/>
      <c r="GI20" s="115"/>
      <c r="GJ20" s="115"/>
      <c r="GK20" s="115"/>
      <c r="GL20" s="115"/>
      <c r="GM20" s="118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117"/>
      <c r="HA20" s="115"/>
      <c r="HB20" s="115"/>
      <c r="HC20" s="115"/>
      <c r="HD20" s="115"/>
      <c r="HE20" s="116"/>
      <c r="HF20" s="117"/>
      <c r="HG20" s="115"/>
      <c r="HH20" s="115"/>
      <c r="HI20" s="115"/>
      <c r="HJ20" s="115"/>
      <c r="HK20" s="118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93"/>
      <c r="HY20" s="91"/>
      <c r="HZ20" s="91"/>
      <c r="IA20" s="91"/>
      <c r="IB20" s="91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91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25" t="str">
        <f>Donnees!$C$29</f>
        <v>Site : Accueil</v>
      </c>
      <c r="C21" s="95">
        <v>12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107"/>
      <c r="BY21" s="108"/>
      <c r="BZ21" s="108"/>
      <c r="CA21" s="108"/>
      <c r="CB21" s="108"/>
      <c r="CC21" s="109"/>
      <c r="CD21" s="110"/>
      <c r="CE21" s="108"/>
      <c r="CF21" s="108"/>
      <c r="CG21" s="108"/>
      <c r="CH21" s="108"/>
      <c r="CI21" s="109"/>
      <c r="CJ21" s="88"/>
      <c r="CK21" s="86"/>
      <c r="CL21" s="86"/>
      <c r="CM21" s="86"/>
      <c r="CN21" s="86"/>
      <c r="CO21" s="87"/>
      <c r="CP21" s="88"/>
      <c r="CQ21" s="86"/>
      <c r="CR21" s="86"/>
      <c r="CS21" s="86"/>
      <c r="CT21" s="86"/>
      <c r="CU21" s="89"/>
      <c r="CV21" s="85"/>
      <c r="CW21" s="86"/>
      <c r="CX21" s="86"/>
      <c r="CY21" s="86"/>
      <c r="CZ21" s="86"/>
      <c r="DA21" s="87"/>
      <c r="DB21" s="88"/>
      <c r="DC21" s="86"/>
      <c r="DD21" s="86"/>
      <c r="DE21" s="86"/>
      <c r="DF21" s="86"/>
      <c r="DG21" s="87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26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25" t="str">
        <f>Donnees!$C$30</f>
        <v>Site : Liste ouvrages</v>
      </c>
      <c r="C23" s="95">
        <v>24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110"/>
      <c r="CK23" s="108"/>
      <c r="CL23" s="108"/>
      <c r="CM23" s="108"/>
      <c r="CN23" s="108"/>
      <c r="CO23" s="109"/>
      <c r="CP23" s="110"/>
      <c r="CQ23" s="108"/>
      <c r="CR23" s="108"/>
      <c r="CS23" s="108"/>
      <c r="CT23" s="108"/>
      <c r="CU23" s="111"/>
      <c r="CV23" s="107"/>
      <c r="CW23" s="108"/>
      <c r="CX23" s="108"/>
      <c r="CY23" s="108"/>
      <c r="CZ23" s="108"/>
      <c r="DA23" s="109"/>
      <c r="DB23" s="110"/>
      <c r="DC23" s="108"/>
      <c r="DD23" s="108"/>
      <c r="DE23" s="108"/>
      <c r="DF23" s="108"/>
      <c r="DG23" s="109"/>
      <c r="DH23" s="88"/>
      <c r="DI23" s="86"/>
      <c r="DJ23" s="86"/>
      <c r="DK23" s="86"/>
      <c r="DL23" s="86"/>
      <c r="DM23" s="87"/>
      <c r="DN23" s="88"/>
      <c r="DO23" s="86"/>
      <c r="DP23" s="86"/>
      <c r="DQ23" s="86"/>
      <c r="DR23" s="86"/>
      <c r="DS23" s="89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26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25" t="str">
        <f>Donnees!$C$31</f>
        <v>Site : Ajout ouvrage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110"/>
      <c r="DI25" s="108"/>
      <c r="DJ25" s="108"/>
      <c r="DK25" s="108"/>
      <c r="DL25" s="108"/>
      <c r="DM25" s="109"/>
      <c r="DN25" s="110"/>
      <c r="DO25" s="108"/>
      <c r="DP25" s="108"/>
      <c r="DQ25" s="108"/>
      <c r="DR25" s="108"/>
      <c r="DS25" s="111"/>
      <c r="DT25" s="85"/>
      <c r="DU25" s="86"/>
      <c r="DV25" s="86"/>
      <c r="DW25" s="86"/>
      <c r="DX25" s="86"/>
      <c r="DY25" s="87"/>
      <c r="DZ25" s="88"/>
      <c r="EA25" s="86"/>
      <c r="EB25" s="86"/>
      <c r="EC25" s="86"/>
      <c r="ED25" s="86"/>
      <c r="EE25" s="87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26"/>
      <c r="C26" s="96">
        <v>0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91"/>
      <c r="II26" s="94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93"/>
      <c r="JC26" s="91"/>
      <c r="JD26" s="91"/>
      <c r="JE26" s="91"/>
      <c r="JF26" s="91"/>
      <c r="JG26" s="94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93"/>
      <c r="JU26" s="91"/>
      <c r="JV26" s="91"/>
      <c r="JW26" s="91"/>
      <c r="JX26" s="91"/>
      <c r="JY26" s="92"/>
      <c r="JZ26" s="93"/>
      <c r="KA26" s="91"/>
      <c r="KB26" s="91"/>
      <c r="KC26" s="91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91"/>
      <c r="LA26" s="91"/>
      <c r="LB26" s="91"/>
      <c r="LC26" s="94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25" t="str">
        <f>Donnees!$C$32</f>
        <v>Site : Appréciation</v>
      </c>
      <c r="C27" s="95">
        <v>12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107"/>
      <c r="DU27" s="108"/>
      <c r="DV27" s="108"/>
      <c r="DW27" s="108"/>
      <c r="DX27" s="108"/>
      <c r="DY27" s="109"/>
      <c r="DZ27" s="110"/>
      <c r="EA27" s="108"/>
      <c r="EB27" s="108"/>
      <c r="EC27" s="108"/>
      <c r="ED27" s="108"/>
      <c r="EE27" s="109"/>
      <c r="EF27" s="88"/>
      <c r="EG27" s="86"/>
      <c r="EH27" s="86"/>
      <c r="EI27" s="86"/>
      <c r="EJ27" s="86"/>
      <c r="EK27" s="87"/>
      <c r="EL27" s="88"/>
      <c r="EM27" s="86"/>
      <c r="EN27" s="86"/>
      <c r="EO27" s="86"/>
      <c r="EP27" s="86"/>
      <c r="EQ27" s="89"/>
      <c r="ER27" s="85"/>
      <c r="ES27" s="86"/>
      <c r="ET27" s="86"/>
      <c r="EU27" s="86"/>
      <c r="EV27" s="86"/>
      <c r="EW27" s="87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26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25" t="str">
        <f>Donnees!$C$33</f>
        <v>Site : Login / Création de compte</v>
      </c>
      <c r="C29" s="95">
        <v>18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110"/>
      <c r="EG29" s="108"/>
      <c r="EH29" s="108"/>
      <c r="EI29" s="108"/>
      <c r="EJ29" s="108"/>
      <c r="EK29" s="109"/>
      <c r="EL29" s="110"/>
      <c r="EM29" s="108"/>
      <c r="EN29" s="108"/>
      <c r="EO29" s="108"/>
      <c r="EP29" s="108"/>
      <c r="EQ29" s="111"/>
      <c r="ER29" s="107"/>
      <c r="ES29" s="108"/>
      <c r="ET29" s="108"/>
      <c r="EU29" s="108"/>
      <c r="EV29" s="108"/>
      <c r="EW29" s="109"/>
      <c r="EX29" s="88"/>
      <c r="EY29" s="86"/>
      <c r="EZ29" s="86"/>
      <c r="FA29" s="86"/>
      <c r="FB29" s="86"/>
      <c r="FC29" s="87"/>
      <c r="FD29" s="88"/>
      <c r="FE29" s="86"/>
      <c r="FF29" s="86"/>
      <c r="FG29" s="86"/>
      <c r="FH29" s="86"/>
      <c r="FI29" s="87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26"/>
      <c r="C30" s="96">
        <v>12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114"/>
      <c r="GO30" s="115"/>
      <c r="GP30" s="115"/>
      <c r="GQ30" s="115"/>
      <c r="GR30" s="115"/>
      <c r="GS30" s="116"/>
      <c r="GT30" s="117"/>
      <c r="GU30" s="115"/>
      <c r="GV30" s="115"/>
      <c r="GW30" s="115"/>
      <c r="GX30" s="115"/>
      <c r="GY30" s="116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92"/>
      <c r="ID30" s="93"/>
      <c r="IE30" s="91"/>
      <c r="IF30" s="91"/>
      <c r="IG30" s="91"/>
      <c r="IH30" s="91"/>
      <c r="II30" s="94"/>
      <c r="IJ30" s="90"/>
      <c r="IK30" s="91"/>
      <c r="IL30" s="91"/>
      <c r="IM30" s="91"/>
      <c r="IN30" s="91"/>
      <c r="IO30" s="92"/>
      <c r="IP30" s="93"/>
      <c r="IQ30" s="91"/>
      <c r="IR30" s="91"/>
      <c r="IS30" s="91"/>
      <c r="IT30" s="91"/>
      <c r="IU30" s="92"/>
      <c r="IV30" s="93"/>
      <c r="IW30" s="91"/>
      <c r="IX30" s="91"/>
      <c r="IY30" s="91"/>
      <c r="IZ30" s="91"/>
      <c r="JA30" s="92"/>
      <c r="JB30" s="93"/>
      <c r="JC30" s="91"/>
      <c r="JD30" s="91"/>
      <c r="JE30" s="91"/>
      <c r="JF30" s="91"/>
      <c r="JG30" s="94"/>
      <c r="JH30" s="90"/>
      <c r="JI30" s="91"/>
      <c r="JJ30" s="91"/>
      <c r="JK30" s="91"/>
      <c r="JL30" s="91"/>
      <c r="JM30" s="92"/>
      <c r="JN30" s="93"/>
      <c r="JO30" s="91"/>
      <c r="JP30" s="91"/>
      <c r="JQ30" s="91"/>
      <c r="JR30" s="91"/>
      <c r="JS30" s="92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94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25" t="str">
        <f>Donnees!$C$34</f>
        <v>Site : Contact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110"/>
      <c r="EY31" s="108"/>
      <c r="EZ31" s="108"/>
      <c r="FA31" s="108"/>
      <c r="FB31" s="108"/>
      <c r="FC31" s="109"/>
      <c r="FD31" s="110"/>
      <c r="FE31" s="108"/>
      <c r="FF31" s="108"/>
      <c r="FG31" s="108"/>
      <c r="FH31" s="108"/>
      <c r="FI31" s="109"/>
      <c r="FJ31" s="88"/>
      <c r="FK31" s="86"/>
      <c r="FL31" s="86"/>
      <c r="FM31" s="86"/>
      <c r="FN31" s="86"/>
      <c r="FO31" s="89"/>
      <c r="FP31" s="85"/>
      <c r="FQ31" s="86"/>
      <c r="FR31" s="86"/>
      <c r="FS31" s="86"/>
      <c r="FT31" s="86"/>
      <c r="FU31" s="87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26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25" t="str">
        <f>Donnees!$C$35</f>
        <v>Site : Point écoconception</v>
      </c>
      <c r="C33" s="95">
        <v>12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110"/>
      <c r="FK33" s="108"/>
      <c r="FL33" s="108"/>
      <c r="FM33" s="108"/>
      <c r="FN33" s="108"/>
      <c r="FO33" s="111"/>
      <c r="FP33" s="107"/>
      <c r="FQ33" s="108"/>
      <c r="FR33" s="108"/>
      <c r="FS33" s="108"/>
      <c r="FT33" s="108"/>
      <c r="FU33" s="109"/>
      <c r="FV33" s="88"/>
      <c r="FW33" s="86"/>
      <c r="FX33" s="86"/>
      <c r="FY33" s="86"/>
      <c r="FZ33" s="86"/>
      <c r="GA33" s="87"/>
      <c r="GB33" s="88"/>
      <c r="GC33" s="86"/>
      <c r="GD33" s="86"/>
      <c r="GE33" s="86"/>
      <c r="GF33" s="86"/>
      <c r="GG33" s="87"/>
      <c r="GH33" s="88"/>
      <c r="GI33" s="86"/>
      <c r="GJ33" s="86"/>
      <c r="GK33" s="86"/>
      <c r="GL33" s="86"/>
      <c r="GM33" s="89"/>
      <c r="GN33" s="85"/>
      <c r="GO33" s="86"/>
      <c r="GP33" s="86"/>
      <c r="GQ33" s="86"/>
      <c r="GR33" s="86"/>
      <c r="GS33" s="87"/>
      <c r="GT33" s="88"/>
      <c r="GU33" s="86"/>
      <c r="GV33" s="86"/>
      <c r="GW33" s="86"/>
      <c r="GX33" s="86"/>
      <c r="GY33" s="87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26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25" t="str">
        <f>Donnees!$C$36</f>
        <v>Site : Tests / Finitions</v>
      </c>
      <c r="C35" s="95">
        <v>30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86"/>
      <c r="AE35" s="86"/>
      <c r="AF35" s="86"/>
      <c r="AG35" s="87"/>
      <c r="AH35" s="88"/>
      <c r="AI35" s="86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110"/>
      <c r="FW35" s="108"/>
      <c r="FX35" s="108"/>
      <c r="FY35" s="108"/>
      <c r="FZ35" s="108"/>
      <c r="GA35" s="109"/>
      <c r="GB35" s="110"/>
      <c r="GC35" s="108"/>
      <c r="GD35" s="108"/>
      <c r="GE35" s="108"/>
      <c r="GF35" s="108"/>
      <c r="GG35" s="109"/>
      <c r="GH35" s="110"/>
      <c r="GI35" s="108"/>
      <c r="GJ35" s="108"/>
      <c r="GK35" s="108"/>
      <c r="GL35" s="108"/>
      <c r="GM35" s="111"/>
      <c r="GN35" s="107"/>
      <c r="GO35" s="108"/>
      <c r="GP35" s="108"/>
      <c r="GQ35" s="108"/>
      <c r="GR35" s="108"/>
      <c r="GS35" s="109"/>
      <c r="GT35" s="110"/>
      <c r="GU35" s="108"/>
      <c r="GV35" s="108"/>
      <c r="GW35" s="108"/>
      <c r="GX35" s="108"/>
      <c r="GY35" s="109"/>
      <c r="GZ35" s="88"/>
      <c r="HA35" s="86"/>
      <c r="HB35" s="86"/>
      <c r="HC35" s="86"/>
      <c r="HD35" s="86"/>
      <c r="HE35" s="87"/>
      <c r="HF35" s="88"/>
      <c r="HG35" s="86"/>
      <c r="HH35" s="86"/>
      <c r="HI35" s="86"/>
      <c r="HJ35" s="86"/>
      <c r="HK35" s="89"/>
      <c r="HL35" s="85"/>
      <c r="HM35" s="86"/>
      <c r="HN35" s="86"/>
      <c r="HO35" s="86"/>
      <c r="HP35" s="86"/>
      <c r="HQ35" s="87"/>
      <c r="HR35" s="88"/>
      <c r="HS35" s="86"/>
      <c r="HT35" s="86"/>
      <c r="HU35" s="86"/>
      <c r="HV35" s="86"/>
      <c r="HW35" s="87"/>
      <c r="HX35" s="88"/>
      <c r="HY35" s="86"/>
      <c r="HZ35" s="86"/>
      <c r="IA35" s="86"/>
      <c r="IB35" s="86"/>
      <c r="IC35" s="87"/>
      <c r="ID35" s="88"/>
      <c r="IE35" s="86"/>
      <c r="IF35" s="86"/>
      <c r="IG35" s="86"/>
      <c r="IH35" s="86"/>
      <c r="II35" s="89"/>
      <c r="IJ35" s="85"/>
      <c r="IK35" s="86"/>
      <c r="IL35" s="86"/>
      <c r="IM35" s="86"/>
      <c r="IN35" s="86"/>
      <c r="IO35" s="87"/>
      <c r="IP35" s="88"/>
      <c r="IQ35" s="86"/>
      <c r="IR35" s="86"/>
      <c r="IS35" s="86"/>
      <c r="IT35" s="86"/>
      <c r="IU35" s="87"/>
      <c r="IV35" s="88"/>
      <c r="IW35" s="86"/>
      <c r="IX35" s="86"/>
      <c r="IY35" s="86"/>
      <c r="IZ35" s="86"/>
      <c r="JA35" s="87"/>
      <c r="JB35" s="88"/>
      <c r="JC35" s="86"/>
      <c r="JD35" s="86"/>
      <c r="JE35" s="86"/>
      <c r="JF35" s="86"/>
      <c r="JG35" s="89"/>
      <c r="JH35" s="85"/>
      <c r="JI35" s="86"/>
      <c r="JJ35" s="86"/>
      <c r="JK35" s="86"/>
      <c r="JL35" s="86"/>
      <c r="JM35" s="87"/>
      <c r="JN35" s="88"/>
      <c r="JO35" s="86"/>
      <c r="JP35" s="86"/>
      <c r="JQ35" s="86"/>
      <c r="JR35" s="86"/>
      <c r="JS35" s="87"/>
      <c r="JT35" s="88"/>
      <c r="JU35" s="86"/>
      <c r="JV35" s="86"/>
      <c r="JW35" s="86"/>
      <c r="JX35" s="86"/>
      <c r="JY35" s="87"/>
      <c r="JZ35" s="88"/>
      <c r="KA35" s="86"/>
      <c r="KB35" s="86"/>
      <c r="KC35" s="86"/>
      <c r="KD35" s="86"/>
      <c r="KE35" s="89"/>
      <c r="KF35" s="85"/>
      <c r="KG35" s="86"/>
      <c r="KH35" s="86"/>
      <c r="KI35" s="86"/>
      <c r="KJ35" s="86"/>
      <c r="KK35" s="87"/>
      <c r="KL35" s="88"/>
      <c r="KM35" s="86"/>
      <c r="KN35" s="86"/>
      <c r="KO35" s="86"/>
      <c r="KP35" s="86"/>
      <c r="KQ35" s="87"/>
      <c r="KR35" s="88"/>
      <c r="KS35" s="86"/>
      <c r="KT35" s="86"/>
      <c r="KU35" s="86"/>
      <c r="KV35" s="86"/>
      <c r="KW35" s="87"/>
      <c r="KX35" s="88"/>
      <c r="KY35" s="86"/>
      <c r="KZ35" s="86"/>
      <c r="LA35" s="86"/>
      <c r="LB35" s="86"/>
      <c r="LC35" s="89"/>
      <c r="LD35" s="85"/>
      <c r="LE35" s="86"/>
      <c r="LF35" s="86"/>
      <c r="LG35" s="86"/>
      <c r="LH35" s="86"/>
      <c r="LI35" s="87"/>
      <c r="LJ35" s="88"/>
      <c r="LK35" s="86"/>
      <c r="LL35" s="86"/>
      <c r="LM35" s="86"/>
      <c r="LN35" s="86"/>
      <c r="LO35" s="87"/>
      <c r="LP35" s="88"/>
      <c r="LQ35" s="86"/>
      <c r="LR35" s="86"/>
      <c r="LS35" s="86"/>
      <c r="LT35" s="86"/>
      <c r="LU35" s="87"/>
      <c r="LV35" s="88"/>
      <c r="LW35" s="86"/>
      <c r="LX35" s="86"/>
      <c r="LY35" s="86"/>
      <c r="LZ35" s="86"/>
      <c r="MA35" s="89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thickBot="1" x14ac:dyDescent="0.25">
      <c r="B36" s="126"/>
      <c r="C36" s="96">
        <v>0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91"/>
      <c r="DW36" s="91"/>
      <c r="DX36" s="91"/>
      <c r="DY36" s="92"/>
      <c r="DZ36" s="93"/>
      <c r="EA36" s="91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125" t="str">
        <f>Donnees!$C$37</f>
        <v>Autre</v>
      </c>
      <c r="C37" s="95">
        <v>138</v>
      </c>
      <c r="D37" s="85"/>
      <c r="E37" s="86"/>
      <c r="F37" s="86"/>
      <c r="G37" s="86"/>
      <c r="H37" s="86"/>
      <c r="I37" s="87"/>
      <c r="J37" s="88"/>
      <c r="K37" s="86"/>
      <c r="L37" s="86"/>
      <c r="M37" s="86"/>
      <c r="N37" s="86"/>
      <c r="O37" s="87"/>
      <c r="P37" s="88"/>
      <c r="Q37" s="86"/>
      <c r="R37" s="86"/>
      <c r="S37" s="86"/>
      <c r="T37" s="86"/>
      <c r="U37" s="87"/>
      <c r="V37" s="88"/>
      <c r="W37" s="86"/>
      <c r="X37" s="86"/>
      <c r="Y37" s="86"/>
      <c r="Z37" s="86"/>
      <c r="AA37" s="89"/>
      <c r="AB37" s="85"/>
      <c r="AC37" s="86"/>
      <c r="AD37" s="108"/>
      <c r="AE37" s="108"/>
      <c r="AF37" s="108"/>
      <c r="AG37" s="109"/>
      <c r="AH37" s="110"/>
      <c r="AI37" s="108"/>
      <c r="AJ37" s="86"/>
      <c r="AK37" s="86"/>
      <c r="AL37" s="86"/>
      <c r="AM37" s="87"/>
      <c r="AN37" s="88"/>
      <c r="AO37" s="86"/>
      <c r="AP37" s="86"/>
      <c r="AQ37" s="86"/>
      <c r="AR37" s="86"/>
      <c r="AS37" s="87"/>
      <c r="AT37" s="88"/>
      <c r="AU37" s="86"/>
      <c r="AV37" s="86"/>
      <c r="AW37" s="86"/>
      <c r="AX37" s="86"/>
      <c r="AY37" s="89"/>
      <c r="AZ37" s="85"/>
      <c r="BA37" s="86"/>
      <c r="BB37" s="86"/>
      <c r="BC37" s="86"/>
      <c r="BD37" s="86"/>
      <c r="BE37" s="87"/>
      <c r="BF37" s="88"/>
      <c r="BG37" s="86"/>
      <c r="BH37" s="86"/>
      <c r="BI37" s="86"/>
      <c r="BJ37" s="86"/>
      <c r="BK37" s="87"/>
      <c r="BL37" s="88"/>
      <c r="BM37" s="86"/>
      <c r="BN37" s="86"/>
      <c r="BO37" s="86"/>
      <c r="BP37" s="86"/>
      <c r="BQ37" s="87"/>
      <c r="BR37" s="88"/>
      <c r="BS37" s="86"/>
      <c r="BT37" s="86"/>
      <c r="BU37" s="86"/>
      <c r="BV37" s="86"/>
      <c r="BW37" s="89"/>
      <c r="BX37" s="85"/>
      <c r="BY37" s="86"/>
      <c r="BZ37" s="86"/>
      <c r="CA37" s="86"/>
      <c r="CB37" s="86"/>
      <c r="CC37" s="87"/>
      <c r="CD37" s="88"/>
      <c r="CE37" s="86"/>
      <c r="CF37" s="86"/>
      <c r="CG37" s="86"/>
      <c r="CH37" s="86"/>
      <c r="CI37" s="87"/>
      <c r="CJ37" s="88"/>
      <c r="CK37" s="86"/>
      <c r="CL37" s="86"/>
      <c r="CM37" s="86"/>
      <c r="CN37" s="86"/>
      <c r="CO37" s="87"/>
      <c r="CP37" s="88"/>
      <c r="CQ37" s="86"/>
      <c r="CR37" s="86"/>
      <c r="CS37" s="86"/>
      <c r="CT37" s="86"/>
      <c r="CU37" s="89"/>
      <c r="CV37" s="85"/>
      <c r="CW37" s="86"/>
      <c r="CX37" s="86"/>
      <c r="CY37" s="86"/>
      <c r="CZ37" s="86"/>
      <c r="DA37" s="87"/>
      <c r="DB37" s="88"/>
      <c r="DC37" s="86"/>
      <c r="DD37" s="86"/>
      <c r="DE37" s="86"/>
      <c r="DF37" s="86"/>
      <c r="DG37" s="87"/>
      <c r="DH37" s="88"/>
      <c r="DI37" s="86"/>
      <c r="DJ37" s="86"/>
      <c r="DK37" s="86"/>
      <c r="DL37" s="86"/>
      <c r="DM37" s="87"/>
      <c r="DN37" s="88"/>
      <c r="DO37" s="86"/>
      <c r="DP37" s="86"/>
      <c r="DQ37" s="86"/>
      <c r="DR37" s="86"/>
      <c r="DS37" s="89"/>
      <c r="DT37" s="85"/>
      <c r="DU37" s="86"/>
      <c r="DV37" s="86"/>
      <c r="DW37" s="86"/>
      <c r="DX37" s="86"/>
      <c r="DY37" s="87"/>
      <c r="DZ37" s="88"/>
      <c r="EA37" s="86"/>
      <c r="EB37" s="86"/>
      <c r="EC37" s="86"/>
      <c r="ED37" s="86"/>
      <c r="EE37" s="87"/>
      <c r="EF37" s="88"/>
      <c r="EG37" s="86"/>
      <c r="EH37" s="86"/>
      <c r="EI37" s="86"/>
      <c r="EJ37" s="86"/>
      <c r="EK37" s="87"/>
      <c r="EL37" s="88"/>
      <c r="EM37" s="86"/>
      <c r="EN37" s="86"/>
      <c r="EO37" s="86"/>
      <c r="EP37" s="86"/>
      <c r="EQ37" s="89"/>
      <c r="ER37" s="85"/>
      <c r="ES37" s="86"/>
      <c r="ET37" s="86"/>
      <c r="EU37" s="86"/>
      <c r="EV37" s="86"/>
      <c r="EW37" s="87"/>
      <c r="EX37" s="88"/>
      <c r="EY37" s="86"/>
      <c r="EZ37" s="86"/>
      <c r="FA37" s="86"/>
      <c r="FB37" s="86"/>
      <c r="FC37" s="87"/>
      <c r="FD37" s="88"/>
      <c r="FE37" s="86"/>
      <c r="FF37" s="86"/>
      <c r="FG37" s="86"/>
      <c r="FH37" s="86"/>
      <c r="FI37" s="87"/>
      <c r="FJ37" s="88"/>
      <c r="FK37" s="86"/>
      <c r="FL37" s="86"/>
      <c r="FM37" s="86"/>
      <c r="FN37" s="86"/>
      <c r="FO37" s="89"/>
      <c r="FP37" s="85"/>
      <c r="FQ37" s="86"/>
      <c r="FR37" s="86"/>
      <c r="FS37" s="86"/>
      <c r="FT37" s="86"/>
      <c r="FU37" s="87"/>
      <c r="FV37" s="88"/>
      <c r="FW37" s="86"/>
      <c r="FX37" s="86"/>
      <c r="FY37" s="86"/>
      <c r="FZ37" s="86"/>
      <c r="GA37" s="87"/>
      <c r="GB37" s="88"/>
      <c r="GC37" s="86"/>
      <c r="GD37" s="86"/>
      <c r="GE37" s="86"/>
      <c r="GF37" s="86"/>
      <c r="GG37" s="87"/>
      <c r="GH37" s="88"/>
      <c r="GI37" s="86"/>
      <c r="GJ37" s="86"/>
      <c r="GK37" s="86"/>
      <c r="GL37" s="86"/>
      <c r="GM37" s="89"/>
      <c r="GN37" s="85"/>
      <c r="GO37" s="86"/>
      <c r="GP37" s="86"/>
      <c r="GQ37" s="86"/>
      <c r="GR37" s="86"/>
      <c r="GS37" s="87"/>
      <c r="GT37" s="88"/>
      <c r="GU37" s="86"/>
      <c r="GV37" s="86"/>
      <c r="GW37" s="86"/>
      <c r="GX37" s="86"/>
      <c r="GY37" s="87"/>
      <c r="GZ37" s="110"/>
      <c r="HA37" s="108"/>
      <c r="HB37" s="108"/>
      <c r="HC37" s="108"/>
      <c r="HD37" s="108"/>
      <c r="HE37" s="109"/>
      <c r="HF37" s="110"/>
      <c r="HG37" s="108"/>
      <c r="HH37" s="108"/>
      <c r="HI37" s="108"/>
      <c r="HJ37" s="108"/>
      <c r="HK37" s="111"/>
      <c r="HL37" s="107"/>
      <c r="HM37" s="108"/>
      <c r="HN37" s="108"/>
      <c r="HO37" s="108"/>
      <c r="HP37" s="108"/>
      <c r="HQ37" s="109"/>
      <c r="HR37" s="110"/>
      <c r="HS37" s="108"/>
      <c r="HT37" s="108"/>
      <c r="HU37" s="108"/>
      <c r="HV37" s="108"/>
      <c r="HW37" s="109"/>
      <c r="HX37" s="110"/>
      <c r="HY37" s="108"/>
      <c r="HZ37" s="108"/>
      <c r="IA37" s="108"/>
      <c r="IB37" s="108"/>
      <c r="IC37" s="109"/>
      <c r="ID37" s="110"/>
      <c r="IE37" s="108"/>
      <c r="IF37" s="108"/>
      <c r="IG37" s="108"/>
      <c r="IH37" s="108"/>
      <c r="II37" s="111"/>
      <c r="IJ37" s="107"/>
      <c r="IK37" s="108"/>
      <c r="IL37" s="108"/>
      <c r="IM37" s="108"/>
      <c r="IN37" s="108"/>
      <c r="IO37" s="109"/>
      <c r="IP37" s="110"/>
      <c r="IQ37" s="108"/>
      <c r="IR37" s="108"/>
      <c r="IS37" s="108"/>
      <c r="IT37" s="108"/>
      <c r="IU37" s="109"/>
      <c r="IV37" s="110"/>
      <c r="IW37" s="108"/>
      <c r="IX37" s="108"/>
      <c r="IY37" s="108"/>
      <c r="IZ37" s="108"/>
      <c r="JA37" s="109"/>
      <c r="JB37" s="110"/>
      <c r="JC37" s="108"/>
      <c r="JD37" s="108"/>
      <c r="JE37" s="108"/>
      <c r="JF37" s="108"/>
      <c r="JG37" s="111"/>
      <c r="JH37" s="107"/>
      <c r="JI37" s="108"/>
      <c r="JJ37" s="108"/>
      <c r="JK37" s="108"/>
      <c r="JL37" s="108"/>
      <c r="JM37" s="109"/>
      <c r="JN37" s="110"/>
      <c r="JO37" s="108"/>
      <c r="JP37" s="108"/>
      <c r="JQ37" s="108"/>
      <c r="JR37" s="108"/>
      <c r="JS37" s="109"/>
      <c r="JT37" s="110"/>
      <c r="JU37" s="108"/>
      <c r="JV37" s="108"/>
      <c r="JW37" s="108"/>
      <c r="JX37" s="108"/>
      <c r="JY37" s="109"/>
      <c r="JZ37" s="110"/>
      <c r="KA37" s="108"/>
      <c r="KB37" s="108"/>
      <c r="KC37" s="108"/>
      <c r="KD37" s="108"/>
      <c r="KE37" s="111"/>
      <c r="KF37" s="107"/>
      <c r="KG37" s="108"/>
      <c r="KH37" s="108"/>
      <c r="KI37" s="108"/>
      <c r="KJ37" s="108"/>
      <c r="KK37" s="109"/>
      <c r="KL37" s="110"/>
      <c r="KM37" s="108"/>
      <c r="KN37" s="108"/>
      <c r="KO37" s="108"/>
      <c r="KP37" s="108"/>
      <c r="KQ37" s="109"/>
      <c r="KR37" s="110"/>
      <c r="KS37" s="108"/>
      <c r="KT37" s="108"/>
      <c r="KU37" s="108"/>
      <c r="KV37" s="108"/>
      <c r="KW37" s="109"/>
      <c r="KX37" s="110"/>
      <c r="KY37" s="108"/>
      <c r="KZ37" s="108"/>
      <c r="LA37" s="108"/>
      <c r="LB37" s="108"/>
      <c r="LC37" s="111"/>
      <c r="LD37" s="107"/>
      <c r="LE37" s="108"/>
      <c r="LF37" s="108"/>
      <c r="LG37" s="108"/>
      <c r="LH37" s="108"/>
      <c r="LI37" s="109"/>
      <c r="LJ37" s="110"/>
      <c r="LK37" s="108"/>
      <c r="LL37" s="108"/>
      <c r="LM37" s="108"/>
      <c r="LN37" s="108"/>
      <c r="LO37" s="109"/>
      <c r="LP37" s="110"/>
      <c r="LQ37" s="108"/>
      <c r="LR37" s="108"/>
      <c r="LS37" s="108"/>
      <c r="LT37" s="108"/>
      <c r="LU37" s="109"/>
      <c r="LV37" s="110"/>
      <c r="LW37" s="108"/>
      <c r="LX37" s="108"/>
      <c r="LY37" s="108"/>
      <c r="LZ37" s="108"/>
      <c r="MA37" s="111"/>
      <c r="MB37" s="85"/>
      <c r="MC37" s="86"/>
      <c r="MD37" s="86"/>
      <c r="ME37" s="86"/>
      <c r="MF37" s="86"/>
      <c r="MG37" s="87"/>
      <c r="MH37" s="88"/>
      <c r="MI37" s="86"/>
      <c r="MJ37" s="86"/>
      <c r="MK37" s="86"/>
      <c r="ML37" s="86"/>
      <c r="MM37" s="87"/>
      <c r="MN37" s="88"/>
      <c r="MO37" s="86"/>
      <c r="MP37" s="86"/>
      <c r="MQ37" s="86"/>
      <c r="MR37" s="86"/>
      <c r="MS37" s="87"/>
      <c r="MT37" s="88"/>
      <c r="MU37" s="86"/>
      <c r="MV37" s="86"/>
      <c r="MW37" s="86"/>
      <c r="MX37" s="86"/>
      <c r="MY37" s="89"/>
    </row>
    <row r="38" spans="2:363" ht="19.5" customHeight="1" x14ac:dyDescent="0.2">
      <c r="B38" s="126"/>
      <c r="C38" s="96">
        <v>6</v>
      </c>
      <c r="D38" s="90"/>
      <c r="E38" s="91"/>
      <c r="F38" s="91"/>
      <c r="G38" s="91"/>
      <c r="H38" s="91"/>
      <c r="I38" s="92"/>
      <c r="J38" s="93"/>
      <c r="K38" s="91"/>
      <c r="L38" s="91"/>
      <c r="M38" s="91"/>
      <c r="N38" s="91"/>
      <c r="O38" s="92"/>
      <c r="P38" s="93"/>
      <c r="Q38" s="91"/>
      <c r="R38" s="91"/>
      <c r="S38" s="91"/>
      <c r="T38" s="91"/>
      <c r="U38" s="92"/>
      <c r="V38" s="93"/>
      <c r="W38" s="91"/>
      <c r="X38" s="91"/>
      <c r="Y38" s="91"/>
      <c r="Z38" s="91"/>
      <c r="AA38" s="94"/>
      <c r="AB38" s="90"/>
      <c r="AC38" s="91"/>
      <c r="AD38" s="91"/>
      <c r="AE38" s="91"/>
      <c r="AF38" s="91"/>
      <c r="AG38" s="92"/>
      <c r="AH38" s="93"/>
      <c r="AI38" s="91"/>
      <c r="AJ38" s="91"/>
      <c r="AK38" s="91"/>
      <c r="AL38" s="91"/>
      <c r="AM38" s="92"/>
      <c r="AN38" s="93"/>
      <c r="AO38" s="91"/>
      <c r="AP38" s="91"/>
      <c r="AQ38" s="91"/>
      <c r="AR38" s="91"/>
      <c r="AS38" s="92"/>
      <c r="AT38" s="93"/>
      <c r="AU38" s="91"/>
      <c r="AV38" s="91"/>
      <c r="AW38" s="91"/>
      <c r="AX38" s="91"/>
      <c r="AY38" s="94"/>
      <c r="AZ38" s="90"/>
      <c r="BA38" s="91"/>
      <c r="BB38" s="91"/>
      <c r="BC38" s="91"/>
      <c r="BD38" s="91"/>
      <c r="BE38" s="92"/>
      <c r="BF38" s="93"/>
      <c r="BG38" s="91"/>
      <c r="BH38" s="91"/>
      <c r="BI38" s="91"/>
      <c r="BJ38" s="91"/>
      <c r="BK38" s="92"/>
      <c r="BL38" s="93"/>
      <c r="BM38" s="91"/>
      <c r="BN38" s="91"/>
      <c r="BO38" s="91"/>
      <c r="BP38" s="91"/>
      <c r="BQ38" s="92"/>
      <c r="BR38" s="93"/>
      <c r="BS38" s="91"/>
      <c r="BT38" s="91"/>
      <c r="BU38" s="91"/>
      <c r="BV38" s="91"/>
      <c r="BW38" s="94"/>
      <c r="BX38" s="90"/>
      <c r="BY38" s="91"/>
      <c r="BZ38" s="91"/>
      <c r="CA38" s="91"/>
      <c r="CB38" s="91"/>
      <c r="CC38" s="92"/>
      <c r="CD38" s="93"/>
      <c r="CE38" s="91"/>
      <c r="CF38" s="91"/>
      <c r="CG38" s="91"/>
      <c r="CH38" s="91"/>
      <c r="CI38" s="92"/>
      <c r="CJ38" s="93"/>
      <c r="CK38" s="91"/>
      <c r="CL38" s="91"/>
      <c r="CM38" s="91"/>
      <c r="CN38" s="91"/>
      <c r="CO38" s="92"/>
      <c r="CP38" s="93"/>
      <c r="CQ38" s="91"/>
      <c r="CR38" s="91"/>
      <c r="CS38" s="91"/>
      <c r="CT38" s="91"/>
      <c r="CU38" s="94"/>
      <c r="CV38" s="90"/>
      <c r="CW38" s="91"/>
      <c r="CX38" s="91"/>
      <c r="CY38" s="91"/>
      <c r="CZ38" s="91"/>
      <c r="DA38" s="92"/>
      <c r="DB38" s="93"/>
      <c r="DC38" s="91"/>
      <c r="DD38" s="91"/>
      <c r="DE38" s="91"/>
      <c r="DF38" s="91"/>
      <c r="DG38" s="92"/>
      <c r="DH38" s="93"/>
      <c r="DI38" s="91"/>
      <c r="DJ38" s="91"/>
      <c r="DK38" s="91"/>
      <c r="DL38" s="91"/>
      <c r="DM38" s="92"/>
      <c r="DN38" s="93"/>
      <c r="DO38" s="91"/>
      <c r="DP38" s="91"/>
      <c r="DQ38" s="91"/>
      <c r="DR38" s="91"/>
      <c r="DS38" s="94"/>
      <c r="DT38" s="90"/>
      <c r="DU38" s="91"/>
      <c r="DV38" s="115"/>
      <c r="DW38" s="115"/>
      <c r="DX38" s="115"/>
      <c r="DY38" s="116"/>
      <c r="DZ38" s="117"/>
      <c r="EA38" s="115"/>
      <c r="EB38" s="91"/>
      <c r="EC38" s="91"/>
      <c r="ED38" s="91"/>
      <c r="EE38" s="92"/>
      <c r="EF38" s="93"/>
      <c r="EG38" s="91"/>
      <c r="EH38" s="91"/>
      <c r="EI38" s="91"/>
      <c r="EJ38" s="91"/>
      <c r="EK38" s="92"/>
      <c r="EL38" s="93"/>
      <c r="EM38" s="91"/>
      <c r="EN38" s="91"/>
      <c r="EO38" s="91"/>
      <c r="EP38" s="91"/>
      <c r="EQ38" s="94"/>
      <c r="ER38" s="90"/>
      <c r="ES38" s="91"/>
      <c r="ET38" s="91"/>
      <c r="EU38" s="91"/>
      <c r="EV38" s="91"/>
      <c r="EW38" s="92"/>
      <c r="EX38" s="93"/>
      <c r="EY38" s="91"/>
      <c r="EZ38" s="91"/>
      <c r="FA38" s="91"/>
      <c r="FB38" s="91"/>
      <c r="FC38" s="92"/>
      <c r="FD38" s="93"/>
      <c r="FE38" s="91"/>
      <c r="FF38" s="91"/>
      <c r="FG38" s="91"/>
      <c r="FH38" s="91"/>
      <c r="FI38" s="92"/>
      <c r="FJ38" s="93"/>
      <c r="FK38" s="91"/>
      <c r="FL38" s="91"/>
      <c r="FM38" s="91"/>
      <c r="FN38" s="91"/>
      <c r="FO38" s="94"/>
      <c r="FP38" s="90"/>
      <c r="FQ38" s="91"/>
      <c r="FR38" s="91"/>
      <c r="FS38" s="91"/>
      <c r="FT38" s="91"/>
      <c r="FU38" s="92"/>
      <c r="FV38" s="93"/>
      <c r="FW38" s="91"/>
      <c r="FX38" s="91"/>
      <c r="FY38" s="91"/>
      <c r="FZ38" s="91"/>
      <c r="GA38" s="92"/>
      <c r="GB38" s="93"/>
      <c r="GC38" s="91"/>
      <c r="GD38" s="91"/>
      <c r="GE38" s="91"/>
      <c r="GF38" s="91"/>
      <c r="GG38" s="92"/>
      <c r="GH38" s="93"/>
      <c r="GI38" s="91"/>
      <c r="GJ38" s="91"/>
      <c r="GK38" s="91"/>
      <c r="GL38" s="91"/>
      <c r="GM38" s="94"/>
      <c r="GN38" s="90"/>
      <c r="GO38" s="91"/>
      <c r="GP38" s="91"/>
      <c r="GQ38" s="91"/>
      <c r="GR38" s="91"/>
      <c r="GS38" s="92"/>
      <c r="GT38" s="93"/>
      <c r="GU38" s="91"/>
      <c r="GV38" s="91"/>
      <c r="GW38" s="91"/>
      <c r="GX38" s="91"/>
      <c r="GY38" s="92"/>
      <c r="GZ38" s="93"/>
      <c r="HA38" s="91"/>
      <c r="HB38" s="91"/>
      <c r="HC38" s="91"/>
      <c r="HD38" s="91"/>
      <c r="HE38" s="92"/>
      <c r="HF38" s="93"/>
      <c r="HG38" s="91"/>
      <c r="HH38" s="91"/>
      <c r="HI38" s="91"/>
      <c r="HJ38" s="91"/>
      <c r="HK38" s="94"/>
      <c r="HL38" s="90"/>
      <c r="HM38" s="91"/>
      <c r="HN38" s="91"/>
      <c r="HO38" s="91"/>
      <c r="HP38" s="91"/>
      <c r="HQ38" s="92"/>
      <c r="HR38" s="93"/>
      <c r="HS38" s="91"/>
      <c r="HT38" s="91"/>
      <c r="HU38" s="91"/>
      <c r="HV38" s="91"/>
      <c r="HW38" s="92"/>
      <c r="HX38" s="93"/>
      <c r="HY38" s="91"/>
      <c r="HZ38" s="91"/>
      <c r="IA38" s="91"/>
      <c r="IB38" s="91"/>
      <c r="IC38" s="92"/>
      <c r="ID38" s="93"/>
      <c r="IE38" s="91"/>
      <c r="IF38" s="91"/>
      <c r="IG38" s="91"/>
      <c r="IH38" s="91"/>
      <c r="II38" s="94"/>
      <c r="IJ38" s="90"/>
      <c r="IK38" s="91"/>
      <c r="IL38" s="91"/>
      <c r="IM38" s="91"/>
      <c r="IN38" s="91"/>
      <c r="IO38" s="92"/>
      <c r="IP38" s="93"/>
      <c r="IQ38" s="91"/>
      <c r="IR38" s="91"/>
      <c r="IS38" s="91"/>
      <c r="IT38" s="91"/>
      <c r="IU38" s="92"/>
      <c r="IV38" s="93"/>
      <c r="IW38" s="91"/>
      <c r="IX38" s="91"/>
      <c r="IY38" s="91"/>
      <c r="IZ38" s="91"/>
      <c r="JA38" s="92"/>
      <c r="JB38" s="93"/>
      <c r="JC38" s="91"/>
      <c r="JD38" s="91"/>
      <c r="JE38" s="91"/>
      <c r="JF38" s="91"/>
      <c r="JG38" s="94"/>
      <c r="JH38" s="90"/>
      <c r="JI38" s="91"/>
      <c r="JJ38" s="91"/>
      <c r="JK38" s="91"/>
      <c r="JL38" s="91"/>
      <c r="JM38" s="92"/>
      <c r="JN38" s="93"/>
      <c r="JO38" s="91"/>
      <c r="JP38" s="91"/>
      <c r="JQ38" s="91"/>
      <c r="JR38" s="91"/>
      <c r="JS38" s="92"/>
      <c r="JT38" s="93"/>
      <c r="JU38" s="91"/>
      <c r="JV38" s="91"/>
      <c r="JW38" s="91"/>
      <c r="JX38" s="91"/>
      <c r="JY38" s="92"/>
      <c r="JZ38" s="93"/>
      <c r="KA38" s="91"/>
      <c r="KB38" s="91"/>
      <c r="KC38" s="91"/>
      <c r="KD38" s="91"/>
      <c r="KE38" s="94"/>
      <c r="KF38" s="90"/>
      <c r="KG38" s="91"/>
      <c r="KH38" s="91"/>
      <c r="KI38" s="91"/>
      <c r="KJ38" s="91"/>
      <c r="KK38" s="92"/>
      <c r="KL38" s="93"/>
      <c r="KM38" s="91"/>
      <c r="KN38" s="91"/>
      <c r="KO38" s="91"/>
      <c r="KP38" s="91"/>
      <c r="KQ38" s="92"/>
      <c r="KR38" s="93"/>
      <c r="KS38" s="91"/>
      <c r="KT38" s="91"/>
      <c r="KU38" s="91"/>
      <c r="KV38" s="91"/>
      <c r="KW38" s="92"/>
      <c r="KX38" s="93"/>
      <c r="KY38" s="91"/>
      <c r="KZ38" s="91"/>
      <c r="LA38" s="91"/>
      <c r="LB38" s="91"/>
      <c r="LC38" s="94"/>
      <c r="LD38" s="90"/>
      <c r="LE38" s="91"/>
      <c r="LF38" s="91"/>
      <c r="LG38" s="91"/>
      <c r="LH38" s="91"/>
      <c r="LI38" s="92"/>
      <c r="LJ38" s="93"/>
      <c r="LK38" s="91"/>
      <c r="LL38" s="91"/>
      <c r="LM38" s="91"/>
      <c r="LN38" s="91"/>
      <c r="LO38" s="92"/>
      <c r="LP38" s="93"/>
      <c r="LQ38" s="91"/>
      <c r="LR38" s="91"/>
      <c r="LS38" s="91"/>
      <c r="LT38" s="91"/>
      <c r="LU38" s="92"/>
      <c r="LV38" s="93"/>
      <c r="LW38" s="91"/>
      <c r="LX38" s="91"/>
      <c r="LY38" s="91"/>
      <c r="LZ38" s="91"/>
      <c r="MA38" s="94"/>
      <c r="MB38" s="90"/>
      <c r="MC38" s="91"/>
      <c r="MD38" s="91"/>
      <c r="ME38" s="91"/>
      <c r="MF38" s="91"/>
      <c r="MG38" s="92"/>
      <c r="MH38" s="93"/>
      <c r="MI38" s="91"/>
      <c r="MJ38" s="91"/>
      <c r="MK38" s="91"/>
      <c r="ML38" s="91"/>
      <c r="MM38" s="92"/>
      <c r="MN38" s="93"/>
      <c r="MO38" s="91"/>
      <c r="MP38" s="91"/>
      <c r="MQ38" s="91"/>
      <c r="MR38" s="91"/>
      <c r="MS38" s="92"/>
      <c r="MT38" s="93"/>
      <c r="MU38" s="91"/>
      <c r="MV38" s="91"/>
      <c r="MW38" s="91"/>
      <c r="MX38" s="91"/>
      <c r="MY38" s="94"/>
    </row>
    <row r="39" spans="2:363" ht="19.5" customHeight="1" x14ac:dyDescent="0.2">
      <c r="B39" s="47" t="s">
        <v>16</v>
      </c>
      <c r="C39" s="49">
        <f>SUM($C$3,$C$5,$C$7,$C$9,$C$11,$C$13,$C$15,$C$17,$C$19,$C$21,$C$23,$C$25,$C$27,$C$29,$C$31,$C$33,$C$35,$C$37)</f>
        <v>360</v>
      </c>
      <c r="D39" s="97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9"/>
      <c r="AB39" s="97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9"/>
      <c r="AZ39" s="97"/>
      <c r="BA39" s="98"/>
      <c r="BB39" s="98"/>
      <c r="BC39" s="98"/>
      <c r="BD39" s="98"/>
      <c r="BE39" s="98"/>
      <c r="BF39" s="98"/>
      <c r="BG39" s="98"/>
      <c r="BH39" s="98"/>
      <c r="BI39" s="98"/>
      <c r="BJ39" s="98"/>
      <c r="BK39" s="98"/>
      <c r="BL39" s="98"/>
      <c r="BM39" s="98"/>
      <c r="BN39" s="98"/>
      <c r="BO39" s="98"/>
      <c r="BP39" s="98"/>
      <c r="BQ39" s="98"/>
      <c r="BR39" s="98"/>
      <c r="BS39" s="98"/>
      <c r="BT39" s="98"/>
      <c r="BU39" s="98"/>
      <c r="BV39" s="98"/>
      <c r="BW39" s="99"/>
      <c r="BX39" s="97"/>
      <c r="BY39" s="98"/>
      <c r="BZ39" s="98"/>
      <c r="CA39" s="98"/>
      <c r="CB39" s="98"/>
      <c r="CC39" s="98"/>
      <c r="CD39" s="98"/>
      <c r="CE39" s="98"/>
      <c r="CF39" s="98"/>
      <c r="CG39" s="98"/>
      <c r="CH39" s="98"/>
      <c r="CI39" s="98"/>
      <c r="CJ39" s="98"/>
      <c r="CK39" s="98"/>
      <c r="CL39" s="98"/>
      <c r="CM39" s="98"/>
      <c r="CN39" s="98"/>
      <c r="CO39" s="98"/>
      <c r="CP39" s="98"/>
      <c r="CQ39" s="98"/>
      <c r="CR39" s="98"/>
      <c r="CS39" s="98"/>
      <c r="CT39" s="98"/>
      <c r="CU39" s="99"/>
      <c r="CV39" s="97"/>
      <c r="CW39" s="98"/>
      <c r="CX39" s="98"/>
      <c r="CY39" s="98"/>
      <c r="CZ39" s="98"/>
      <c r="DA39" s="98"/>
      <c r="DB39" s="98"/>
      <c r="DC39" s="98"/>
      <c r="DD39" s="98"/>
      <c r="DE39" s="98"/>
      <c r="DF39" s="98"/>
      <c r="DG39" s="98"/>
      <c r="DH39" s="98"/>
      <c r="DI39" s="98"/>
      <c r="DJ39" s="98"/>
      <c r="DK39" s="98"/>
      <c r="DL39" s="98"/>
      <c r="DM39" s="98"/>
      <c r="DN39" s="98"/>
      <c r="DO39" s="98"/>
      <c r="DP39" s="98"/>
      <c r="DQ39" s="98"/>
      <c r="DR39" s="98"/>
      <c r="DS39" s="99"/>
      <c r="DT39" s="97"/>
      <c r="DU39" s="98"/>
      <c r="DV39" s="98"/>
      <c r="DW39" s="98"/>
      <c r="DX39" s="98"/>
      <c r="DY39" s="98"/>
      <c r="DZ39" s="98"/>
      <c r="EA39" s="98"/>
      <c r="EB39" s="98"/>
      <c r="EC39" s="98"/>
      <c r="ED39" s="98"/>
      <c r="EE39" s="98"/>
      <c r="EF39" s="98"/>
      <c r="EG39" s="98"/>
      <c r="EH39" s="98"/>
      <c r="EI39" s="98"/>
      <c r="EJ39" s="98"/>
      <c r="EK39" s="98"/>
      <c r="EL39" s="98"/>
      <c r="EM39" s="98"/>
      <c r="EN39" s="98"/>
      <c r="EO39" s="98"/>
      <c r="EP39" s="98"/>
      <c r="EQ39" s="99"/>
      <c r="ER39" s="97"/>
      <c r="ES39" s="98"/>
      <c r="ET39" s="98"/>
      <c r="EU39" s="98"/>
      <c r="EV39" s="98"/>
      <c r="EW39" s="98"/>
      <c r="EX39" s="98"/>
      <c r="EY39" s="98"/>
      <c r="EZ39" s="98"/>
      <c r="FA39" s="98"/>
      <c r="FB39" s="98"/>
      <c r="FC39" s="98"/>
      <c r="FD39" s="98"/>
      <c r="FE39" s="98"/>
      <c r="FF39" s="98"/>
      <c r="FG39" s="98"/>
      <c r="FH39" s="98"/>
      <c r="FI39" s="98"/>
      <c r="FJ39" s="98"/>
      <c r="FK39" s="98"/>
      <c r="FL39" s="98"/>
      <c r="FM39" s="98"/>
      <c r="FN39" s="98"/>
      <c r="FO39" s="99"/>
      <c r="FP39" s="97"/>
      <c r="FQ39" s="98"/>
      <c r="FR39" s="98"/>
      <c r="FS39" s="98"/>
      <c r="FT39" s="98"/>
      <c r="FU39" s="98"/>
      <c r="FV39" s="98"/>
      <c r="FW39" s="98"/>
      <c r="FX39" s="98"/>
      <c r="FY39" s="98"/>
      <c r="FZ39" s="98"/>
      <c r="GA39" s="98"/>
      <c r="GB39" s="98"/>
      <c r="GC39" s="98"/>
      <c r="GD39" s="98"/>
      <c r="GE39" s="98"/>
      <c r="GF39" s="98"/>
      <c r="GG39" s="98"/>
      <c r="GH39" s="98"/>
      <c r="GI39" s="98"/>
      <c r="GJ39" s="98"/>
      <c r="GK39" s="98"/>
      <c r="GL39" s="98"/>
      <c r="GM39" s="99"/>
      <c r="GN39" s="97"/>
      <c r="GO39" s="98"/>
      <c r="GP39" s="98"/>
      <c r="GQ39" s="98"/>
      <c r="GR39" s="98"/>
      <c r="GS39" s="98"/>
      <c r="GT39" s="98"/>
      <c r="GU39" s="98"/>
      <c r="GV39" s="98"/>
      <c r="GW39" s="98"/>
      <c r="GX39" s="98"/>
      <c r="GY39" s="98"/>
      <c r="GZ39" s="98"/>
      <c r="HA39" s="98"/>
      <c r="HB39" s="98"/>
      <c r="HC39" s="98"/>
      <c r="HD39" s="98"/>
      <c r="HE39" s="98"/>
      <c r="HF39" s="98"/>
      <c r="HG39" s="98"/>
      <c r="HH39" s="98"/>
      <c r="HI39" s="98"/>
      <c r="HJ39" s="98"/>
      <c r="HK39" s="99"/>
      <c r="HL39" s="97"/>
      <c r="HM39" s="98"/>
      <c r="HN39" s="98"/>
      <c r="HO39" s="98"/>
      <c r="HP39" s="98"/>
      <c r="HQ39" s="98"/>
      <c r="HR39" s="98"/>
      <c r="HS39" s="98"/>
      <c r="HT39" s="98"/>
      <c r="HU39" s="98"/>
      <c r="HV39" s="98"/>
      <c r="HW39" s="98"/>
      <c r="HX39" s="98"/>
      <c r="HY39" s="98"/>
      <c r="HZ39" s="98"/>
      <c r="IA39" s="98"/>
      <c r="IB39" s="98"/>
      <c r="IC39" s="98"/>
      <c r="ID39" s="98"/>
      <c r="IE39" s="98"/>
      <c r="IF39" s="98"/>
      <c r="IG39" s="98"/>
      <c r="IH39" s="98"/>
      <c r="II39" s="99"/>
      <c r="IJ39" s="97"/>
      <c r="IK39" s="98"/>
      <c r="IL39" s="98"/>
      <c r="IM39" s="98"/>
      <c r="IN39" s="98"/>
      <c r="IO39" s="98"/>
      <c r="IP39" s="98"/>
      <c r="IQ39" s="98"/>
      <c r="IR39" s="98"/>
      <c r="IS39" s="98"/>
      <c r="IT39" s="98"/>
      <c r="IU39" s="98"/>
      <c r="IV39" s="98"/>
      <c r="IW39" s="98"/>
      <c r="IX39" s="98"/>
      <c r="IY39" s="98"/>
      <c r="IZ39" s="98"/>
      <c r="JA39" s="98"/>
      <c r="JB39" s="98"/>
      <c r="JC39" s="98"/>
      <c r="JD39" s="98"/>
      <c r="JE39" s="98"/>
      <c r="JF39" s="98"/>
      <c r="JG39" s="99"/>
      <c r="JH39" s="97"/>
      <c r="JI39" s="98"/>
      <c r="JJ39" s="98"/>
      <c r="JK39" s="98"/>
      <c r="JL39" s="98"/>
      <c r="JM39" s="98"/>
      <c r="JN39" s="98"/>
      <c r="JO39" s="98"/>
      <c r="JP39" s="98"/>
      <c r="JQ39" s="98"/>
      <c r="JR39" s="98"/>
      <c r="JS39" s="98"/>
      <c r="JT39" s="98"/>
      <c r="JU39" s="98"/>
      <c r="JV39" s="98"/>
      <c r="JW39" s="98"/>
      <c r="JX39" s="98"/>
      <c r="JY39" s="98"/>
      <c r="JZ39" s="98"/>
      <c r="KA39" s="98"/>
      <c r="KB39" s="98"/>
      <c r="KC39" s="98"/>
      <c r="KD39" s="98"/>
      <c r="KE39" s="99"/>
      <c r="KF39" s="97"/>
      <c r="KG39" s="98"/>
      <c r="KH39" s="98"/>
      <c r="KI39" s="98"/>
      <c r="KJ39" s="98"/>
      <c r="KK39" s="98"/>
      <c r="KL39" s="98"/>
      <c r="KM39" s="98"/>
      <c r="KN39" s="98"/>
      <c r="KO39" s="98"/>
      <c r="KP39" s="98"/>
      <c r="KQ39" s="98"/>
      <c r="KR39" s="98"/>
      <c r="KS39" s="98"/>
      <c r="KT39" s="98"/>
      <c r="KU39" s="98"/>
      <c r="KV39" s="98"/>
      <c r="KW39" s="98"/>
      <c r="KX39" s="98"/>
      <c r="KY39" s="98"/>
      <c r="KZ39" s="98"/>
      <c r="LA39" s="98"/>
      <c r="LB39" s="98"/>
      <c r="LC39" s="99"/>
      <c r="LD39" s="97"/>
      <c r="LE39" s="98"/>
      <c r="LF39" s="98"/>
      <c r="LG39" s="98"/>
      <c r="LH39" s="98"/>
      <c r="LI39" s="98"/>
      <c r="LJ39" s="98"/>
      <c r="LK39" s="98"/>
      <c r="LL39" s="98"/>
      <c r="LM39" s="98"/>
      <c r="LN39" s="98"/>
      <c r="LO39" s="98"/>
      <c r="LP39" s="98"/>
      <c r="LQ39" s="98"/>
      <c r="LR39" s="98"/>
      <c r="LS39" s="98"/>
      <c r="LT39" s="98"/>
      <c r="LU39" s="98"/>
      <c r="LV39" s="98"/>
      <c r="LW39" s="98"/>
      <c r="LX39" s="98"/>
      <c r="LY39" s="98"/>
      <c r="LZ39" s="98"/>
      <c r="MA39" s="99"/>
      <c r="MB39" s="97"/>
      <c r="MC39" s="98"/>
      <c r="MD39" s="98"/>
      <c r="ME39" s="98"/>
      <c r="MF39" s="98"/>
      <c r="MG39" s="98"/>
      <c r="MH39" s="98"/>
      <c r="MI39" s="98"/>
      <c r="MJ39" s="98"/>
      <c r="MK39" s="98"/>
      <c r="ML39" s="98"/>
      <c r="MM39" s="98"/>
      <c r="MN39" s="98"/>
      <c r="MO39" s="98"/>
      <c r="MP39" s="98"/>
      <c r="MQ39" s="98"/>
      <c r="MR39" s="98"/>
      <c r="MS39" s="98"/>
      <c r="MT39" s="98"/>
      <c r="MU39" s="98"/>
      <c r="MV39" s="98"/>
      <c r="MW39" s="98"/>
      <c r="MX39" s="98"/>
      <c r="MY39" s="99"/>
    </row>
    <row r="40" spans="2:363" ht="19.5" customHeight="1" thickBot="1" x14ac:dyDescent="0.25">
      <c r="B40" s="48" t="s">
        <v>17</v>
      </c>
      <c r="C40" s="50">
        <f>SUM($C$4,$C$6,$C$8,$C$10,$C$12,$C$14,$C$16,$C$18,$C$20,$C$22,$C$24,$C$26,$C$28,$C$30,$C$32,$C$34,$C$36,$C$38)</f>
        <v>228</v>
      </c>
      <c r="D40" s="100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2"/>
      <c r="AB40" s="100"/>
      <c r="AC40" s="101"/>
      <c r="AD40" s="101"/>
      <c r="AE40" s="101"/>
      <c r="AF40" s="101"/>
      <c r="AG40" s="101"/>
      <c r="AH40" s="101"/>
      <c r="AI40" s="101"/>
      <c r="AJ40" s="101"/>
      <c r="AK40" s="101"/>
      <c r="AL40" s="101"/>
      <c r="AM40" s="101"/>
      <c r="AN40" s="101"/>
      <c r="AO40" s="101"/>
      <c r="AP40" s="101"/>
      <c r="AQ40" s="101"/>
      <c r="AR40" s="101"/>
      <c r="AS40" s="101"/>
      <c r="AT40" s="101"/>
      <c r="AU40" s="101"/>
      <c r="AV40" s="101"/>
      <c r="AW40" s="101"/>
      <c r="AX40" s="101"/>
      <c r="AY40" s="102"/>
      <c r="AZ40" s="100"/>
      <c r="BA40" s="101"/>
      <c r="BB40" s="101"/>
      <c r="BC40" s="101"/>
      <c r="BD40" s="101"/>
      <c r="BE40" s="101"/>
      <c r="BF40" s="101"/>
      <c r="BG40" s="101"/>
      <c r="BH40" s="101"/>
      <c r="BI40" s="101"/>
      <c r="BJ40" s="101"/>
      <c r="BK40" s="101"/>
      <c r="BL40" s="101"/>
      <c r="BM40" s="101"/>
      <c r="BN40" s="101"/>
      <c r="BO40" s="101"/>
      <c r="BP40" s="101"/>
      <c r="BQ40" s="101"/>
      <c r="BR40" s="101"/>
      <c r="BS40" s="101"/>
      <c r="BT40" s="101"/>
      <c r="BU40" s="101"/>
      <c r="BV40" s="101"/>
      <c r="BW40" s="102"/>
      <c r="BX40" s="100"/>
      <c r="BY40" s="101"/>
      <c r="BZ40" s="101"/>
      <c r="CA40" s="101"/>
      <c r="CB40" s="101"/>
      <c r="CC40" s="101"/>
      <c r="CD40" s="101"/>
      <c r="CE40" s="101"/>
      <c r="CF40" s="101"/>
      <c r="CG40" s="101"/>
      <c r="CH40" s="101"/>
      <c r="CI40" s="101"/>
      <c r="CJ40" s="101"/>
      <c r="CK40" s="101"/>
      <c r="CL40" s="101"/>
      <c r="CM40" s="101"/>
      <c r="CN40" s="101"/>
      <c r="CO40" s="101"/>
      <c r="CP40" s="101"/>
      <c r="CQ40" s="101"/>
      <c r="CR40" s="101"/>
      <c r="CS40" s="101"/>
      <c r="CT40" s="101"/>
      <c r="CU40" s="102"/>
      <c r="CV40" s="100"/>
      <c r="CW40" s="101"/>
      <c r="CX40" s="101"/>
      <c r="CY40" s="101"/>
      <c r="CZ40" s="101"/>
      <c r="DA40" s="101"/>
      <c r="DB40" s="101"/>
      <c r="DC40" s="101"/>
      <c r="DD40" s="101"/>
      <c r="DE40" s="101"/>
      <c r="DF40" s="101"/>
      <c r="DG40" s="101"/>
      <c r="DH40" s="101"/>
      <c r="DI40" s="101"/>
      <c r="DJ40" s="101"/>
      <c r="DK40" s="101"/>
      <c r="DL40" s="101"/>
      <c r="DM40" s="101"/>
      <c r="DN40" s="101"/>
      <c r="DO40" s="101"/>
      <c r="DP40" s="101"/>
      <c r="DQ40" s="101"/>
      <c r="DR40" s="101"/>
      <c r="DS40" s="102"/>
      <c r="DT40" s="100"/>
      <c r="DU40" s="101"/>
      <c r="DV40" s="101"/>
      <c r="DW40" s="101"/>
      <c r="DX40" s="101"/>
      <c r="DY40" s="101"/>
      <c r="DZ40" s="101"/>
      <c r="EA40" s="101"/>
      <c r="EB40" s="101"/>
      <c r="EC40" s="101"/>
      <c r="ED40" s="101"/>
      <c r="EE40" s="101"/>
      <c r="EF40" s="101"/>
      <c r="EG40" s="101"/>
      <c r="EH40" s="101"/>
      <c r="EI40" s="101"/>
      <c r="EJ40" s="101"/>
      <c r="EK40" s="101"/>
      <c r="EL40" s="101"/>
      <c r="EM40" s="101"/>
      <c r="EN40" s="101"/>
      <c r="EO40" s="101"/>
      <c r="EP40" s="101"/>
      <c r="EQ40" s="102"/>
      <c r="ER40" s="100"/>
      <c r="ES40" s="101"/>
      <c r="ET40" s="101"/>
      <c r="EU40" s="101"/>
      <c r="EV40" s="101"/>
      <c r="EW40" s="101"/>
      <c r="EX40" s="101"/>
      <c r="EY40" s="101"/>
      <c r="EZ40" s="101"/>
      <c r="FA40" s="101"/>
      <c r="FB40" s="101"/>
      <c r="FC40" s="101"/>
      <c r="FD40" s="101"/>
      <c r="FE40" s="101"/>
      <c r="FF40" s="101"/>
      <c r="FG40" s="101"/>
      <c r="FH40" s="101"/>
      <c r="FI40" s="101"/>
      <c r="FJ40" s="101"/>
      <c r="FK40" s="101"/>
      <c r="FL40" s="101"/>
      <c r="FM40" s="101"/>
      <c r="FN40" s="101"/>
      <c r="FO40" s="102"/>
      <c r="FP40" s="100"/>
      <c r="FQ40" s="101"/>
      <c r="FR40" s="101"/>
      <c r="FS40" s="101"/>
      <c r="FT40" s="101"/>
      <c r="FU40" s="101"/>
      <c r="FV40" s="101"/>
      <c r="FW40" s="101"/>
      <c r="FX40" s="101"/>
      <c r="FY40" s="101"/>
      <c r="FZ40" s="101"/>
      <c r="GA40" s="101"/>
      <c r="GB40" s="101"/>
      <c r="GC40" s="101"/>
      <c r="GD40" s="101"/>
      <c r="GE40" s="101"/>
      <c r="GF40" s="101"/>
      <c r="GG40" s="101"/>
      <c r="GH40" s="101"/>
      <c r="GI40" s="101"/>
      <c r="GJ40" s="101"/>
      <c r="GK40" s="101"/>
      <c r="GL40" s="101"/>
      <c r="GM40" s="102"/>
      <c r="GN40" s="100"/>
      <c r="GO40" s="101"/>
      <c r="GP40" s="101"/>
      <c r="GQ40" s="101"/>
      <c r="GR40" s="101"/>
      <c r="GS40" s="101"/>
      <c r="GT40" s="101"/>
      <c r="GU40" s="101"/>
      <c r="GV40" s="101"/>
      <c r="GW40" s="101"/>
      <c r="GX40" s="101"/>
      <c r="GY40" s="101"/>
      <c r="GZ40" s="101"/>
      <c r="HA40" s="101"/>
      <c r="HB40" s="101"/>
      <c r="HC40" s="101"/>
      <c r="HD40" s="101"/>
      <c r="HE40" s="101"/>
      <c r="HF40" s="101"/>
      <c r="HG40" s="101"/>
      <c r="HH40" s="101"/>
      <c r="HI40" s="101"/>
      <c r="HJ40" s="101"/>
      <c r="HK40" s="102"/>
      <c r="HL40" s="100"/>
      <c r="HM40" s="101"/>
      <c r="HN40" s="101"/>
      <c r="HO40" s="101"/>
      <c r="HP40" s="101"/>
      <c r="HQ40" s="101"/>
      <c r="HR40" s="101"/>
      <c r="HS40" s="101"/>
      <c r="HT40" s="101"/>
      <c r="HU40" s="101"/>
      <c r="HV40" s="101"/>
      <c r="HW40" s="101"/>
      <c r="HX40" s="101"/>
      <c r="HY40" s="101"/>
      <c r="HZ40" s="101"/>
      <c r="IA40" s="101"/>
      <c r="IB40" s="101"/>
      <c r="IC40" s="101"/>
      <c r="ID40" s="101"/>
      <c r="IE40" s="101"/>
      <c r="IF40" s="101"/>
      <c r="IG40" s="101"/>
      <c r="IH40" s="101"/>
      <c r="II40" s="102"/>
      <c r="IJ40" s="100"/>
      <c r="IK40" s="101"/>
      <c r="IL40" s="101"/>
      <c r="IM40" s="101"/>
      <c r="IN40" s="101"/>
      <c r="IO40" s="101"/>
      <c r="IP40" s="101"/>
      <c r="IQ40" s="101"/>
      <c r="IR40" s="101"/>
      <c r="IS40" s="101"/>
      <c r="IT40" s="101"/>
      <c r="IU40" s="101"/>
      <c r="IV40" s="101"/>
      <c r="IW40" s="101"/>
      <c r="IX40" s="101"/>
      <c r="IY40" s="101"/>
      <c r="IZ40" s="101"/>
      <c r="JA40" s="101"/>
      <c r="JB40" s="101"/>
      <c r="JC40" s="101"/>
      <c r="JD40" s="101"/>
      <c r="JE40" s="101"/>
      <c r="JF40" s="101"/>
      <c r="JG40" s="102"/>
      <c r="JH40" s="100"/>
      <c r="JI40" s="101"/>
      <c r="JJ40" s="101"/>
      <c r="JK40" s="101"/>
      <c r="JL40" s="101"/>
      <c r="JM40" s="101"/>
      <c r="JN40" s="101"/>
      <c r="JO40" s="101"/>
      <c r="JP40" s="101"/>
      <c r="JQ40" s="101"/>
      <c r="JR40" s="101"/>
      <c r="JS40" s="101"/>
      <c r="JT40" s="101"/>
      <c r="JU40" s="101"/>
      <c r="JV40" s="101"/>
      <c r="JW40" s="101"/>
      <c r="JX40" s="101"/>
      <c r="JY40" s="101"/>
      <c r="JZ40" s="101"/>
      <c r="KA40" s="101"/>
      <c r="KB40" s="101"/>
      <c r="KC40" s="101"/>
      <c r="KD40" s="101"/>
      <c r="KE40" s="102"/>
      <c r="KF40" s="100"/>
      <c r="KG40" s="101"/>
      <c r="KH40" s="101"/>
      <c r="KI40" s="101"/>
      <c r="KJ40" s="101"/>
      <c r="KK40" s="101"/>
      <c r="KL40" s="101"/>
      <c r="KM40" s="101"/>
      <c r="KN40" s="101"/>
      <c r="KO40" s="101"/>
      <c r="KP40" s="101"/>
      <c r="KQ40" s="101"/>
      <c r="KR40" s="101"/>
      <c r="KS40" s="101"/>
      <c r="KT40" s="101"/>
      <c r="KU40" s="101"/>
      <c r="KV40" s="101"/>
      <c r="KW40" s="101"/>
      <c r="KX40" s="101"/>
      <c r="KY40" s="101"/>
      <c r="KZ40" s="101"/>
      <c r="LA40" s="101"/>
      <c r="LB40" s="101"/>
      <c r="LC40" s="102"/>
      <c r="LD40" s="100"/>
      <c r="LE40" s="101"/>
      <c r="LF40" s="101"/>
      <c r="LG40" s="101"/>
      <c r="LH40" s="101"/>
      <c r="LI40" s="101"/>
      <c r="LJ40" s="101"/>
      <c r="LK40" s="101"/>
      <c r="LL40" s="101"/>
      <c r="LM40" s="101"/>
      <c r="LN40" s="101"/>
      <c r="LO40" s="101"/>
      <c r="LP40" s="101"/>
      <c r="LQ40" s="101"/>
      <c r="LR40" s="101"/>
      <c r="LS40" s="101"/>
      <c r="LT40" s="101"/>
      <c r="LU40" s="101"/>
      <c r="LV40" s="101"/>
      <c r="LW40" s="101"/>
      <c r="LX40" s="101"/>
      <c r="LY40" s="101"/>
      <c r="LZ40" s="101"/>
      <c r="MA40" s="102"/>
      <c r="MB40" s="100"/>
      <c r="MC40" s="101"/>
      <c r="MD40" s="101"/>
      <c r="ME40" s="101"/>
      <c r="MF40" s="101"/>
      <c r="MG40" s="101"/>
      <c r="MH40" s="101"/>
      <c r="MI40" s="101"/>
      <c r="MJ40" s="101"/>
      <c r="MK40" s="101"/>
      <c r="ML40" s="101"/>
      <c r="MM40" s="101"/>
      <c r="MN40" s="101"/>
      <c r="MO40" s="101"/>
      <c r="MP40" s="101"/>
      <c r="MQ40" s="101"/>
      <c r="MR40" s="101"/>
      <c r="MS40" s="101"/>
      <c r="MT40" s="101"/>
      <c r="MU40" s="101"/>
      <c r="MV40" s="101"/>
      <c r="MW40" s="101"/>
      <c r="MX40" s="101"/>
      <c r="MY40" s="102"/>
    </row>
  </sheetData>
  <sheetProtection sheet="1" objects="1" scenarios="1" insertRows="0" selectLockedCells="1"/>
  <mergeCells count="33">
    <mergeCell ref="B35:B36"/>
    <mergeCell ref="B37:B38"/>
    <mergeCell ref="B15:B16"/>
    <mergeCell ref="B17:B18"/>
    <mergeCell ref="B19:B20"/>
    <mergeCell ref="B21:B22"/>
    <mergeCell ref="B23:B24"/>
    <mergeCell ref="B25:B26"/>
    <mergeCell ref="DT2:EQ2"/>
    <mergeCell ref="B27:B28"/>
    <mergeCell ref="B29:B30"/>
    <mergeCell ref="B31:B32"/>
    <mergeCell ref="B33:B34"/>
    <mergeCell ref="B3:B4"/>
    <mergeCell ref="B5:B6"/>
    <mergeCell ref="B7:B8"/>
    <mergeCell ref="B9:B10"/>
    <mergeCell ref="B11:B12"/>
    <mergeCell ref="B13:B14"/>
    <mergeCell ref="D2:AA2"/>
    <mergeCell ref="AB2:AY2"/>
    <mergeCell ref="AZ2:BW2"/>
    <mergeCell ref="BX2:CU2"/>
    <mergeCell ref="CV2:DS2"/>
    <mergeCell ref="KF2:LC2"/>
    <mergeCell ref="LD2:MA2"/>
    <mergeCell ref="MB2:MY2"/>
    <mergeCell ref="ER2:FO2"/>
    <mergeCell ref="FP2:GM2"/>
    <mergeCell ref="GN2:HK2"/>
    <mergeCell ref="HL2:II2"/>
    <mergeCell ref="IJ2:JG2"/>
    <mergeCell ref="JH2:KE2"/>
  </mergeCells>
  <dataValidations disablePrompts="1"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7" t="s">
        <v>21</v>
      </c>
      <c r="C3" s="30">
        <v>0</v>
      </c>
    </row>
    <row r="4" spans="1:4" ht="19.5" customHeight="1" x14ac:dyDescent="0.2">
      <c r="A4" s="34"/>
      <c r="B4" s="12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92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42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86"/>
  <sheetViews>
    <sheetView tabSelected="1" view="pageBreakPreview" topLeftCell="A43" zoomScale="115" zoomScaleNormal="100" zoomScaleSheetLayoutView="115" workbookViewId="0">
      <selection activeCell="C57" sqref="C5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9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12" t="s">
        <v>75</v>
      </c>
    </row>
    <row r="4" spans="1:9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9" s="80" customFormat="1" ht="27.75" thickBot="1" x14ac:dyDescent="0.25">
      <c r="A5" s="5" t="s">
        <v>27</v>
      </c>
      <c r="B5" s="6">
        <v>8</v>
      </c>
      <c r="C5" s="14" t="s">
        <v>76</v>
      </c>
      <c r="D5" s="14"/>
    </row>
    <row r="6" spans="1:9" ht="14.25" thickBot="1" x14ac:dyDescent="0.25">
      <c r="A6" s="75" t="s">
        <v>22</v>
      </c>
      <c r="B6" s="75">
        <f>SUM(B3:B5)</f>
        <v>24</v>
      </c>
      <c r="C6" s="104" t="s">
        <v>73</v>
      </c>
      <c r="D6" s="76"/>
    </row>
    <row r="7" spans="1:9" ht="15" thickBot="1" x14ac:dyDescent="0.35">
      <c r="A7" s="77"/>
      <c r="B7" s="77"/>
      <c r="C7" s="77"/>
      <c r="D7" s="77"/>
    </row>
    <row r="8" spans="1:9" ht="18.75" thickBot="1" x14ac:dyDescent="0.25">
      <c r="A8" s="70" t="s">
        <v>14</v>
      </c>
      <c r="B8" s="71">
        <v>2</v>
      </c>
      <c r="C8" s="72" t="s">
        <v>23</v>
      </c>
      <c r="D8" s="81">
        <v>42752</v>
      </c>
    </row>
    <row r="9" spans="1:9" ht="27.75" thickBot="1" x14ac:dyDescent="0.25">
      <c r="A9" s="73" t="s">
        <v>3</v>
      </c>
      <c r="B9" s="74" t="s">
        <v>15</v>
      </c>
      <c r="C9" s="73" t="s">
        <v>7</v>
      </c>
      <c r="D9" s="73" t="s">
        <v>13</v>
      </c>
    </row>
    <row r="10" spans="1:9" ht="14.25" thickBot="1" x14ac:dyDescent="0.25">
      <c r="A10" s="9" t="s">
        <v>21</v>
      </c>
      <c r="B10" s="8">
        <v>24</v>
      </c>
      <c r="C10" s="13" t="s">
        <v>77</v>
      </c>
      <c r="D10" s="13"/>
    </row>
    <row r="11" spans="1:9" ht="14.25" thickBot="1" x14ac:dyDescent="0.25">
      <c r="A11" s="75" t="s">
        <v>22</v>
      </c>
      <c r="B11" s="75">
        <f>SUM(B10:B10)</f>
        <v>24</v>
      </c>
      <c r="C11" s="104" t="s">
        <v>73</v>
      </c>
      <c r="D11" s="76"/>
      <c r="E11" s="37"/>
      <c r="F11" s="37"/>
      <c r="G11" s="37"/>
      <c r="H11" s="37"/>
      <c r="I11" s="37"/>
    </row>
    <row r="12" spans="1:9" ht="15" thickBot="1" x14ac:dyDescent="0.35">
      <c r="A12" s="77"/>
      <c r="B12" s="77"/>
      <c r="C12" s="77"/>
      <c r="D12" s="77"/>
      <c r="E12" s="37"/>
      <c r="F12" s="37"/>
      <c r="G12" s="37"/>
      <c r="H12" s="37"/>
      <c r="I12" s="37"/>
    </row>
    <row r="13" spans="1:9" ht="18.75" thickBot="1" x14ac:dyDescent="0.25">
      <c r="A13" s="70" t="s">
        <v>14</v>
      </c>
      <c r="B13" s="71">
        <v>3</v>
      </c>
      <c r="C13" s="72" t="s">
        <v>23</v>
      </c>
      <c r="D13" s="81">
        <v>42759</v>
      </c>
      <c r="E13" s="37"/>
      <c r="F13" s="37"/>
      <c r="G13" s="37"/>
      <c r="H13" s="37"/>
      <c r="I13" s="37"/>
    </row>
    <row r="14" spans="1:9" ht="27.75" thickBot="1" x14ac:dyDescent="0.25">
      <c r="A14" s="73" t="s">
        <v>3</v>
      </c>
      <c r="B14" s="74" t="s">
        <v>15</v>
      </c>
      <c r="C14" s="73" t="s">
        <v>7</v>
      </c>
      <c r="D14" s="73" t="s">
        <v>13</v>
      </c>
    </row>
    <row r="15" spans="1:9" ht="14.25" thickBot="1" x14ac:dyDescent="0.25">
      <c r="A15" s="9" t="s">
        <v>21</v>
      </c>
      <c r="B15" s="8">
        <v>24</v>
      </c>
      <c r="C15" s="13" t="s">
        <v>77</v>
      </c>
      <c r="D15" s="13"/>
    </row>
    <row r="16" spans="1:9" ht="14.25" thickBot="1" x14ac:dyDescent="0.25">
      <c r="A16" s="75" t="s">
        <v>22</v>
      </c>
      <c r="B16" s="75">
        <f>SUM(B15:B15)</f>
        <v>24</v>
      </c>
      <c r="C16" s="104" t="s">
        <v>73</v>
      </c>
      <c r="D16" s="76"/>
    </row>
    <row r="17" spans="1:4" ht="15" thickBot="1" x14ac:dyDescent="0.35">
      <c r="A17" s="77"/>
      <c r="B17" s="77"/>
      <c r="C17" s="77"/>
      <c r="D17" s="77"/>
    </row>
    <row r="18" spans="1:4" ht="18.75" thickBot="1" x14ac:dyDescent="0.25">
      <c r="A18" s="70" t="s">
        <v>14</v>
      </c>
      <c r="B18" s="71">
        <v>4</v>
      </c>
      <c r="C18" s="72" t="s">
        <v>23</v>
      </c>
      <c r="D18" s="81">
        <v>42766</v>
      </c>
    </row>
    <row r="19" spans="1:4" ht="27.75" thickBot="1" x14ac:dyDescent="0.25">
      <c r="A19" s="73" t="s">
        <v>3</v>
      </c>
      <c r="B19" s="74" t="s">
        <v>15</v>
      </c>
      <c r="C19" s="73" t="s">
        <v>7</v>
      </c>
      <c r="D19" s="73" t="s">
        <v>13</v>
      </c>
    </row>
    <row r="20" spans="1:4" ht="14.25" thickBot="1" x14ac:dyDescent="0.25">
      <c r="A20" s="9" t="s">
        <v>21</v>
      </c>
      <c r="B20" s="8">
        <v>24</v>
      </c>
      <c r="C20" s="13" t="s">
        <v>77</v>
      </c>
      <c r="D20" s="13"/>
    </row>
    <row r="21" spans="1:4" ht="14.25" thickBot="1" x14ac:dyDescent="0.25">
      <c r="A21" s="75" t="s">
        <v>22</v>
      </c>
      <c r="B21" s="75">
        <f>SUM(B20:B20)</f>
        <v>24</v>
      </c>
      <c r="C21" s="104" t="s">
        <v>73</v>
      </c>
      <c r="D21" s="76"/>
    </row>
    <row r="22" spans="1:4" ht="15" thickBot="1" x14ac:dyDescent="0.35">
      <c r="A22" s="77"/>
      <c r="B22" s="77"/>
      <c r="C22" s="77"/>
      <c r="D22" s="77"/>
    </row>
    <row r="23" spans="1:4" ht="18.75" thickBot="1" x14ac:dyDescent="0.25">
      <c r="A23" s="70" t="s">
        <v>14</v>
      </c>
      <c r="B23" s="71">
        <v>5</v>
      </c>
      <c r="C23" s="72" t="s">
        <v>23</v>
      </c>
      <c r="D23" s="81">
        <v>42773</v>
      </c>
    </row>
    <row r="24" spans="1:4" ht="27.75" thickBot="1" x14ac:dyDescent="0.25">
      <c r="A24" s="73" t="s">
        <v>3</v>
      </c>
      <c r="B24" s="74" t="s">
        <v>15</v>
      </c>
      <c r="C24" s="73" t="s">
        <v>7</v>
      </c>
      <c r="D24" s="73" t="s">
        <v>13</v>
      </c>
    </row>
    <row r="25" spans="1:4" ht="13.5" x14ac:dyDescent="0.2">
      <c r="A25" s="9" t="s">
        <v>21</v>
      </c>
      <c r="B25" s="8">
        <v>12</v>
      </c>
      <c r="C25" s="13" t="s">
        <v>78</v>
      </c>
      <c r="D25" s="13"/>
    </row>
    <row r="26" spans="1:4" ht="13.5" x14ac:dyDescent="0.2">
      <c r="A26" s="5" t="s">
        <v>21</v>
      </c>
      <c r="B26" s="6">
        <v>10</v>
      </c>
      <c r="C26" s="14" t="s">
        <v>79</v>
      </c>
      <c r="D26" s="14"/>
    </row>
    <row r="27" spans="1:4" ht="27.75" thickBot="1" x14ac:dyDescent="0.25">
      <c r="A27" s="5" t="s">
        <v>27</v>
      </c>
      <c r="B27" s="6">
        <v>2</v>
      </c>
      <c r="C27" s="14" t="s">
        <v>80</v>
      </c>
      <c r="D27" s="14"/>
    </row>
    <row r="28" spans="1:4" ht="14.25" thickBot="1" x14ac:dyDescent="0.25">
      <c r="A28" s="75" t="s">
        <v>22</v>
      </c>
      <c r="B28" s="75">
        <f>SUM(B25:B27)</f>
        <v>24</v>
      </c>
      <c r="C28" s="104" t="s">
        <v>73</v>
      </c>
      <c r="D28" s="76"/>
    </row>
    <row r="29" spans="1:4" ht="15" thickBot="1" x14ac:dyDescent="0.35">
      <c r="A29" s="77"/>
      <c r="B29" s="77"/>
      <c r="C29" s="77"/>
      <c r="D29" s="77"/>
    </row>
    <row r="30" spans="1:4" ht="18.75" thickBot="1" x14ac:dyDescent="0.25">
      <c r="A30" s="70" t="s">
        <v>14</v>
      </c>
      <c r="B30" s="71">
        <v>6</v>
      </c>
      <c r="C30" s="72" t="s">
        <v>23</v>
      </c>
      <c r="D30" s="81">
        <v>42780</v>
      </c>
    </row>
    <row r="31" spans="1:4" ht="27.75" thickBot="1" x14ac:dyDescent="0.25">
      <c r="A31" s="73" t="s">
        <v>3</v>
      </c>
      <c r="B31" s="74" t="s">
        <v>15</v>
      </c>
      <c r="C31" s="73" t="s">
        <v>7</v>
      </c>
      <c r="D31" s="73" t="s">
        <v>13</v>
      </c>
    </row>
    <row r="32" spans="1:4" ht="13.5" x14ac:dyDescent="0.2">
      <c r="A32" s="9" t="s">
        <v>27</v>
      </c>
      <c r="B32" s="8">
        <v>2</v>
      </c>
      <c r="C32" s="13" t="s">
        <v>81</v>
      </c>
      <c r="D32" s="13"/>
    </row>
    <row r="33" spans="1:4" ht="27" x14ac:dyDescent="0.2">
      <c r="A33" s="5" t="s">
        <v>46</v>
      </c>
      <c r="B33" s="6">
        <v>6</v>
      </c>
      <c r="C33" s="14" t="s">
        <v>83</v>
      </c>
      <c r="D33" s="113" t="s">
        <v>82</v>
      </c>
    </row>
    <row r="34" spans="1:4" ht="67.5" x14ac:dyDescent="0.2">
      <c r="A34" s="5" t="s">
        <v>49</v>
      </c>
      <c r="B34" s="6">
        <v>5</v>
      </c>
      <c r="C34" s="14" t="s">
        <v>85</v>
      </c>
      <c r="D34" s="113" t="s">
        <v>84</v>
      </c>
    </row>
    <row r="35" spans="1:4" ht="13.5" x14ac:dyDescent="0.2">
      <c r="A35" s="5" t="s">
        <v>27</v>
      </c>
      <c r="B35" s="6">
        <v>1</v>
      </c>
      <c r="C35" s="14" t="s">
        <v>86</v>
      </c>
      <c r="D35" s="14"/>
    </row>
    <row r="36" spans="1:4" ht="27" x14ac:dyDescent="0.2">
      <c r="A36" s="5" t="s">
        <v>29</v>
      </c>
      <c r="B36" s="6">
        <v>2</v>
      </c>
      <c r="C36" s="14" t="s">
        <v>87</v>
      </c>
      <c r="D36" s="14"/>
    </row>
    <row r="37" spans="1:4" ht="25.5" x14ac:dyDescent="0.2">
      <c r="A37" s="5" t="s">
        <v>50</v>
      </c>
      <c r="B37" s="6">
        <v>4</v>
      </c>
      <c r="C37" s="14" t="s">
        <v>88</v>
      </c>
      <c r="D37" s="113" t="s">
        <v>89</v>
      </c>
    </row>
    <row r="38" spans="1:4" ht="14.25" thickBot="1" x14ac:dyDescent="0.25">
      <c r="A38" s="5" t="s">
        <v>92</v>
      </c>
      <c r="B38" s="6">
        <v>4</v>
      </c>
      <c r="C38" s="14" t="s">
        <v>90</v>
      </c>
      <c r="D38" s="14"/>
    </row>
    <row r="39" spans="1:4" ht="14.25" thickBot="1" x14ac:dyDescent="0.25">
      <c r="A39" s="75" t="s">
        <v>22</v>
      </c>
      <c r="B39" s="75">
        <f>SUM(B32:B38)</f>
        <v>24</v>
      </c>
      <c r="C39" s="104" t="s">
        <v>73</v>
      </c>
      <c r="D39" s="76"/>
    </row>
    <row r="40" spans="1:4" ht="15" thickBot="1" x14ac:dyDescent="0.35">
      <c r="A40" s="77"/>
      <c r="B40" s="77"/>
      <c r="C40" s="77"/>
      <c r="D40" s="77"/>
    </row>
    <row r="41" spans="1:4" ht="18.75" thickBot="1" x14ac:dyDescent="0.25">
      <c r="A41" s="70" t="s">
        <v>14</v>
      </c>
      <c r="B41" s="71">
        <v>7</v>
      </c>
      <c r="C41" s="72" t="s">
        <v>23</v>
      </c>
      <c r="D41" s="81">
        <v>42787</v>
      </c>
    </row>
    <row r="42" spans="1:4" ht="27.75" thickBot="1" x14ac:dyDescent="0.25">
      <c r="A42" s="73" t="s">
        <v>3</v>
      </c>
      <c r="B42" s="74" t="s">
        <v>15</v>
      </c>
      <c r="C42" s="73" t="s">
        <v>7</v>
      </c>
      <c r="D42" s="73" t="s">
        <v>13</v>
      </c>
    </row>
    <row r="43" spans="1:4" ht="14.25" thickBot="1" x14ac:dyDescent="0.25">
      <c r="A43" s="9" t="s">
        <v>21</v>
      </c>
      <c r="B43" s="8">
        <v>24</v>
      </c>
      <c r="C43" s="13" t="s">
        <v>91</v>
      </c>
      <c r="D43" s="13"/>
    </row>
    <row r="44" spans="1:4" ht="14.25" thickBot="1" x14ac:dyDescent="0.25">
      <c r="A44" s="75" t="s">
        <v>22</v>
      </c>
      <c r="B44" s="75">
        <f>SUM(B43:B43)</f>
        <v>24</v>
      </c>
      <c r="C44" s="104" t="s">
        <v>73</v>
      </c>
      <c r="D44" s="76"/>
    </row>
    <row r="45" spans="1:4" ht="15" thickBot="1" x14ac:dyDescent="0.35">
      <c r="A45" s="77"/>
      <c r="B45" s="77"/>
      <c r="C45" s="77"/>
      <c r="D45" s="77"/>
    </row>
    <row r="46" spans="1:4" ht="18.75" thickBot="1" x14ac:dyDescent="0.25">
      <c r="A46" s="70" t="s">
        <v>14</v>
      </c>
      <c r="B46" s="71">
        <v>8</v>
      </c>
      <c r="C46" s="72" t="s">
        <v>23</v>
      </c>
      <c r="D46" s="81">
        <v>42794</v>
      </c>
    </row>
    <row r="47" spans="1:4" ht="27.75" thickBot="1" x14ac:dyDescent="0.25">
      <c r="A47" s="73" t="s">
        <v>3</v>
      </c>
      <c r="B47" s="74" t="s">
        <v>15</v>
      </c>
      <c r="C47" s="73" t="s">
        <v>7</v>
      </c>
      <c r="D47" s="73" t="s">
        <v>13</v>
      </c>
    </row>
    <row r="48" spans="1:4" ht="13.5" x14ac:dyDescent="0.2">
      <c r="A48" s="9" t="s">
        <v>92</v>
      </c>
      <c r="B48" s="8">
        <v>12</v>
      </c>
      <c r="C48" s="13" t="s">
        <v>93</v>
      </c>
      <c r="D48" s="112" t="s">
        <v>94</v>
      </c>
    </row>
    <row r="49" spans="1:4" ht="27" x14ac:dyDescent="0.2">
      <c r="A49" s="5" t="s">
        <v>92</v>
      </c>
      <c r="B49" s="6">
        <v>8</v>
      </c>
      <c r="C49" s="14" t="s">
        <v>95</v>
      </c>
      <c r="D49" s="113" t="s">
        <v>96</v>
      </c>
    </row>
    <row r="50" spans="1:4" ht="14.25" thickBot="1" x14ac:dyDescent="0.25">
      <c r="A50" s="5" t="s">
        <v>92</v>
      </c>
      <c r="B50" s="6">
        <v>4</v>
      </c>
      <c r="C50" s="14" t="s">
        <v>97</v>
      </c>
      <c r="D50" s="113" t="s">
        <v>98</v>
      </c>
    </row>
    <row r="51" spans="1:4" ht="14.25" thickBot="1" x14ac:dyDescent="0.25">
      <c r="A51" s="75" t="s">
        <v>22</v>
      </c>
      <c r="B51" s="75">
        <f>SUM(B48:B50)</f>
        <v>24</v>
      </c>
      <c r="C51" s="104" t="s">
        <v>73</v>
      </c>
      <c r="D51" s="76"/>
    </row>
    <row r="52" spans="1:4" ht="15" thickBot="1" x14ac:dyDescent="0.35">
      <c r="A52" s="77"/>
      <c r="B52" s="77"/>
      <c r="C52" s="77"/>
      <c r="D52" s="77"/>
    </row>
    <row r="53" spans="1:4" ht="18.75" thickBot="1" x14ac:dyDescent="0.25">
      <c r="A53" s="70" t="s">
        <v>14</v>
      </c>
      <c r="B53" s="71">
        <v>9</v>
      </c>
      <c r="C53" s="72" t="s">
        <v>23</v>
      </c>
      <c r="D53" s="81">
        <v>42801</v>
      </c>
    </row>
    <row r="54" spans="1:4" ht="27.75" thickBot="1" x14ac:dyDescent="0.25">
      <c r="A54" s="73" t="s">
        <v>3</v>
      </c>
      <c r="B54" s="74" t="s">
        <v>15</v>
      </c>
      <c r="C54" s="73" t="s">
        <v>7</v>
      </c>
      <c r="D54" s="73" t="s">
        <v>13</v>
      </c>
    </row>
    <row r="55" spans="1:4" ht="27" x14ac:dyDescent="0.2">
      <c r="A55" s="9" t="s">
        <v>55</v>
      </c>
      <c r="B55" s="8">
        <v>12</v>
      </c>
      <c r="C55" s="13" t="s">
        <v>99</v>
      </c>
      <c r="D55" s="13"/>
    </row>
    <row r="56" spans="1:4" ht="27" x14ac:dyDescent="0.2">
      <c r="A56" s="5" t="s">
        <v>92</v>
      </c>
      <c r="B56" s="6">
        <v>5</v>
      </c>
      <c r="C56" s="14" t="s">
        <v>111</v>
      </c>
      <c r="D56" s="14"/>
    </row>
    <row r="57" spans="1:4" ht="27" x14ac:dyDescent="0.2">
      <c r="A57" s="5" t="s">
        <v>46</v>
      </c>
      <c r="B57" s="6">
        <v>7</v>
      </c>
      <c r="C57" s="14" t="s">
        <v>112</v>
      </c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6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78"/>
      <c r="B67" s="78"/>
      <c r="C67" s="79"/>
      <c r="D67" s="79"/>
    </row>
    <row r="68" spans="1:4" ht="13.5" x14ac:dyDescent="0.2">
      <c r="A68" s="78"/>
      <c r="B68" s="78"/>
      <c r="C68" s="79"/>
      <c r="D68" s="79"/>
    </row>
    <row r="69" spans="1:4" ht="14.25" thickBot="1" x14ac:dyDescent="0.25">
      <c r="A69" s="7"/>
      <c r="B69" s="7"/>
      <c r="C69" s="15"/>
      <c r="D69" s="15"/>
    </row>
    <row r="70" spans="1:4" ht="14.25" thickBot="1" x14ac:dyDescent="0.25">
      <c r="A70" s="75" t="s">
        <v>22</v>
      </c>
      <c r="B70" s="75">
        <f>SUM(B55:B69)</f>
        <v>24</v>
      </c>
      <c r="C70" s="104" t="s">
        <v>73</v>
      </c>
      <c r="D70" s="76"/>
    </row>
    <row r="71" spans="1:4" ht="15" thickBot="1" x14ac:dyDescent="0.35">
      <c r="A71" s="77"/>
      <c r="B71" s="77"/>
      <c r="C71" s="77"/>
      <c r="D71" s="77"/>
    </row>
    <row r="72" spans="1:4" ht="18.75" thickBot="1" x14ac:dyDescent="0.25">
      <c r="A72" s="70" t="s">
        <v>14</v>
      </c>
      <c r="B72" s="71">
        <v>10</v>
      </c>
      <c r="C72" s="72" t="s">
        <v>23</v>
      </c>
      <c r="D72" s="81">
        <v>42808</v>
      </c>
    </row>
    <row r="73" spans="1:4" ht="27.75" thickBot="1" x14ac:dyDescent="0.25">
      <c r="A73" s="73" t="s">
        <v>3</v>
      </c>
      <c r="B73" s="74" t="s">
        <v>15</v>
      </c>
      <c r="C73" s="73" t="s">
        <v>7</v>
      </c>
      <c r="D73" s="73" t="s">
        <v>13</v>
      </c>
    </row>
    <row r="74" spans="1:4" ht="13.5" x14ac:dyDescent="0.2">
      <c r="A74" s="9" t="s">
        <v>21</v>
      </c>
      <c r="B74" s="8">
        <v>12</v>
      </c>
      <c r="C74" s="13" t="s">
        <v>105</v>
      </c>
      <c r="D74" s="13"/>
    </row>
    <row r="75" spans="1:4" ht="54" x14ac:dyDescent="0.2">
      <c r="A75" s="5" t="s">
        <v>92</v>
      </c>
      <c r="B75" s="6">
        <v>5</v>
      </c>
      <c r="C75" s="14" t="s">
        <v>100</v>
      </c>
      <c r="D75" s="113" t="s">
        <v>94</v>
      </c>
    </row>
    <row r="76" spans="1:4" ht="27" x14ac:dyDescent="0.2">
      <c r="A76" s="5" t="s">
        <v>55</v>
      </c>
      <c r="B76" s="6">
        <v>5</v>
      </c>
      <c r="C76" s="14" t="s">
        <v>101</v>
      </c>
      <c r="D76" s="14" t="s">
        <v>104</v>
      </c>
    </row>
    <row r="77" spans="1:4" ht="13.5" x14ac:dyDescent="0.2">
      <c r="A77" s="5" t="s">
        <v>53</v>
      </c>
      <c r="B77" s="6">
        <v>2</v>
      </c>
      <c r="C77" s="14" t="s">
        <v>102</v>
      </c>
      <c r="D77" s="113" t="s">
        <v>103</v>
      </c>
    </row>
    <row r="78" spans="1:4" ht="13.5" x14ac:dyDescent="0.2">
      <c r="A78" s="5"/>
      <c r="B78" s="6"/>
      <c r="C78" s="14"/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6"/>
      <c r="B83" s="6"/>
      <c r="C83" s="14"/>
      <c r="D83" s="14"/>
    </row>
    <row r="84" spans="1:4" ht="13.5" x14ac:dyDescent="0.2">
      <c r="A84" s="6"/>
      <c r="B84" s="6"/>
      <c r="C84" s="14"/>
      <c r="D84" s="14"/>
    </row>
    <row r="85" spans="1:4" ht="13.5" x14ac:dyDescent="0.2">
      <c r="A85" s="6"/>
      <c r="B85" s="6"/>
      <c r="C85" s="14"/>
      <c r="D85" s="14"/>
    </row>
    <row r="86" spans="1:4" ht="13.5" x14ac:dyDescent="0.2">
      <c r="A86" s="78"/>
      <c r="B86" s="78"/>
      <c r="C86" s="79"/>
      <c r="D86" s="79"/>
    </row>
    <row r="87" spans="1:4" ht="13.5" x14ac:dyDescent="0.2">
      <c r="A87" s="78"/>
      <c r="B87" s="78"/>
      <c r="C87" s="79"/>
      <c r="D87" s="79"/>
    </row>
    <row r="88" spans="1:4" ht="14.25" thickBot="1" x14ac:dyDescent="0.25">
      <c r="A88" s="7"/>
      <c r="B88" s="7"/>
      <c r="C88" s="15"/>
      <c r="D88" s="15"/>
    </row>
    <row r="89" spans="1:4" ht="14.25" thickBot="1" x14ac:dyDescent="0.25">
      <c r="A89" s="75" t="s">
        <v>22</v>
      </c>
      <c r="B89" s="75">
        <f>SUM(B74:B88)</f>
        <v>24</v>
      </c>
      <c r="C89" s="104" t="s">
        <v>73</v>
      </c>
      <c r="D89" s="76"/>
    </row>
    <row r="90" spans="1:4" ht="15" thickBot="1" x14ac:dyDescent="0.35">
      <c r="A90" s="77"/>
      <c r="B90" s="77"/>
      <c r="C90" s="77"/>
      <c r="D90" s="77"/>
    </row>
    <row r="91" spans="1:4" ht="18.75" thickBot="1" x14ac:dyDescent="0.25">
      <c r="A91" s="70" t="s">
        <v>14</v>
      </c>
      <c r="B91" s="71">
        <v>11</v>
      </c>
      <c r="C91" s="72" t="s">
        <v>23</v>
      </c>
      <c r="D91" s="81">
        <v>42815</v>
      </c>
    </row>
    <row r="92" spans="1:4" ht="27.75" thickBot="1" x14ac:dyDescent="0.25">
      <c r="A92" s="73" t="s">
        <v>3</v>
      </c>
      <c r="B92" s="74" t="s">
        <v>15</v>
      </c>
      <c r="C92" s="73" t="s">
        <v>7</v>
      </c>
      <c r="D92" s="73" t="s">
        <v>13</v>
      </c>
    </row>
    <row r="93" spans="1:4" ht="27" x14ac:dyDescent="0.2">
      <c r="A93" s="9" t="s">
        <v>29</v>
      </c>
      <c r="B93" s="8">
        <v>1</v>
      </c>
      <c r="C93" s="13" t="s">
        <v>108</v>
      </c>
      <c r="D93" s="112" t="s">
        <v>109</v>
      </c>
    </row>
    <row r="94" spans="1:4" ht="13.5" x14ac:dyDescent="0.2">
      <c r="A94" s="5" t="s">
        <v>27</v>
      </c>
      <c r="B94" s="6">
        <v>5</v>
      </c>
      <c r="C94" s="14" t="s">
        <v>106</v>
      </c>
      <c r="D94" s="119" t="s">
        <v>107</v>
      </c>
    </row>
    <row r="95" spans="1:4" ht="27" x14ac:dyDescent="0.2">
      <c r="A95" s="5" t="s">
        <v>55</v>
      </c>
      <c r="B95" s="6">
        <v>12</v>
      </c>
      <c r="C95" s="14" t="s">
        <v>110</v>
      </c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6"/>
      <c r="B102" s="6"/>
      <c r="C102" s="14"/>
      <c r="D102" s="14"/>
    </row>
    <row r="103" spans="1:4" ht="13.5" x14ac:dyDescent="0.2">
      <c r="A103" s="6"/>
      <c r="B103" s="6"/>
      <c r="C103" s="14"/>
      <c r="D103" s="14"/>
    </row>
    <row r="104" spans="1:4" ht="13.5" x14ac:dyDescent="0.2">
      <c r="A104" s="6"/>
      <c r="B104" s="6"/>
      <c r="C104" s="14"/>
      <c r="D104" s="14"/>
    </row>
    <row r="105" spans="1:4" ht="13.5" x14ac:dyDescent="0.2">
      <c r="A105" s="78"/>
      <c r="B105" s="78"/>
      <c r="C105" s="79"/>
      <c r="D105" s="79"/>
    </row>
    <row r="106" spans="1:4" ht="13.5" x14ac:dyDescent="0.2">
      <c r="A106" s="78"/>
      <c r="B106" s="78"/>
      <c r="C106" s="79"/>
      <c r="D106" s="79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75" t="s">
        <v>22</v>
      </c>
      <c r="B108" s="75">
        <f>SUM(B93:B107)</f>
        <v>18</v>
      </c>
      <c r="C108" s="104" t="s">
        <v>73</v>
      </c>
      <c r="D108" s="76"/>
    </row>
    <row r="109" spans="1:4" ht="15" thickBot="1" x14ac:dyDescent="0.35">
      <c r="A109" s="77"/>
      <c r="B109" s="77"/>
      <c r="C109" s="77"/>
      <c r="D109" s="77"/>
    </row>
    <row r="110" spans="1:4" ht="18.75" thickBot="1" x14ac:dyDescent="0.25">
      <c r="A110" s="70" t="s">
        <v>14</v>
      </c>
      <c r="B110" s="71">
        <v>12</v>
      </c>
      <c r="C110" s="72" t="s">
        <v>23</v>
      </c>
      <c r="D110" s="81">
        <v>42822</v>
      </c>
    </row>
    <row r="111" spans="1:4" ht="27.75" thickBot="1" x14ac:dyDescent="0.25">
      <c r="A111" s="73" t="s">
        <v>3</v>
      </c>
      <c r="B111" s="74" t="s">
        <v>15</v>
      </c>
      <c r="C111" s="73" t="s">
        <v>7</v>
      </c>
      <c r="D111" s="73" t="s">
        <v>13</v>
      </c>
    </row>
    <row r="112" spans="1:4" ht="13.5" x14ac:dyDescent="0.2">
      <c r="A112" s="9"/>
      <c r="B112" s="8"/>
      <c r="C112" s="13"/>
      <c r="D112" s="13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3.5" x14ac:dyDescent="0.2">
      <c r="A124" s="78"/>
      <c r="B124" s="78"/>
      <c r="C124" s="79"/>
      <c r="D124" s="79"/>
    </row>
    <row r="125" spans="1:4" ht="13.5" x14ac:dyDescent="0.2">
      <c r="A125" s="78"/>
      <c r="B125" s="78"/>
      <c r="C125" s="79"/>
      <c r="D125" s="79"/>
    </row>
    <row r="126" spans="1:4" ht="14.25" thickBot="1" x14ac:dyDescent="0.25">
      <c r="A126" s="7"/>
      <c r="B126" s="7"/>
      <c r="C126" s="15"/>
      <c r="D126" s="15"/>
    </row>
    <row r="127" spans="1:4" ht="14.25" thickBot="1" x14ac:dyDescent="0.25">
      <c r="A127" s="75" t="s">
        <v>22</v>
      </c>
      <c r="B127" s="75">
        <f>SUM(B112:B126)</f>
        <v>0</v>
      </c>
      <c r="C127" s="104" t="s">
        <v>73</v>
      </c>
      <c r="D127" s="76"/>
    </row>
    <row r="128" spans="1:4" ht="15" thickBot="1" x14ac:dyDescent="0.35">
      <c r="A128" s="77"/>
      <c r="B128" s="77"/>
      <c r="C128" s="77"/>
      <c r="D128" s="77"/>
    </row>
    <row r="129" spans="1:4" ht="18.75" thickBot="1" x14ac:dyDescent="0.25">
      <c r="A129" s="70" t="s">
        <v>14</v>
      </c>
      <c r="B129" s="71">
        <v>13</v>
      </c>
      <c r="C129" s="72" t="s">
        <v>23</v>
      </c>
      <c r="D129" s="81">
        <v>42829</v>
      </c>
    </row>
    <row r="130" spans="1:4" ht="27.75" thickBot="1" x14ac:dyDescent="0.25">
      <c r="A130" s="73" t="s">
        <v>3</v>
      </c>
      <c r="B130" s="74" t="s">
        <v>15</v>
      </c>
      <c r="C130" s="73" t="s">
        <v>7</v>
      </c>
      <c r="D130" s="73" t="s">
        <v>13</v>
      </c>
    </row>
    <row r="131" spans="1:4" ht="13.5" x14ac:dyDescent="0.2">
      <c r="A131" s="9"/>
      <c r="B131" s="8"/>
      <c r="C131" s="13"/>
      <c r="D131" s="13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5"/>
      <c r="B135" s="6"/>
      <c r="C135" s="14"/>
      <c r="D135" s="14"/>
    </row>
    <row r="136" spans="1:4" ht="13.5" x14ac:dyDescent="0.2">
      <c r="A136" s="5"/>
      <c r="B136" s="6"/>
      <c r="C136" s="14"/>
      <c r="D136" s="14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6"/>
      <c r="B140" s="6"/>
      <c r="C140" s="14"/>
      <c r="D140" s="14"/>
    </row>
    <row r="141" spans="1:4" ht="13.5" x14ac:dyDescent="0.2">
      <c r="A141" s="6"/>
      <c r="B141" s="6"/>
      <c r="C141" s="14"/>
      <c r="D141" s="14"/>
    </row>
    <row r="142" spans="1:4" ht="13.5" x14ac:dyDescent="0.2">
      <c r="A142" s="6"/>
      <c r="B142" s="6"/>
      <c r="C142" s="14"/>
      <c r="D142" s="14"/>
    </row>
    <row r="143" spans="1:4" ht="13.5" x14ac:dyDescent="0.2">
      <c r="A143" s="78"/>
      <c r="B143" s="78"/>
      <c r="C143" s="79"/>
      <c r="D143" s="79"/>
    </row>
    <row r="144" spans="1:4" ht="13.5" x14ac:dyDescent="0.2">
      <c r="A144" s="78"/>
      <c r="B144" s="78"/>
      <c r="C144" s="79"/>
      <c r="D144" s="79"/>
    </row>
    <row r="145" spans="1:4" ht="14.25" thickBot="1" x14ac:dyDescent="0.25">
      <c r="A145" s="7"/>
      <c r="B145" s="7"/>
      <c r="C145" s="15"/>
      <c r="D145" s="15"/>
    </row>
    <row r="146" spans="1:4" ht="14.25" thickBot="1" x14ac:dyDescent="0.25">
      <c r="A146" s="75" t="s">
        <v>22</v>
      </c>
      <c r="B146" s="75">
        <f>SUM(B131:B145)</f>
        <v>0</v>
      </c>
      <c r="C146" s="104" t="s">
        <v>73</v>
      </c>
      <c r="D146" s="76"/>
    </row>
    <row r="147" spans="1:4" ht="15" thickBot="1" x14ac:dyDescent="0.35">
      <c r="A147" s="77"/>
      <c r="B147" s="77"/>
      <c r="C147" s="77"/>
      <c r="D147" s="77"/>
    </row>
    <row r="148" spans="1:4" ht="18.75" thickBot="1" x14ac:dyDescent="0.25">
      <c r="A148" s="70" t="s">
        <v>14</v>
      </c>
      <c r="B148" s="71">
        <v>14</v>
      </c>
      <c r="C148" s="72" t="s">
        <v>23</v>
      </c>
      <c r="D148" s="81">
        <v>42836</v>
      </c>
    </row>
    <row r="149" spans="1:4" ht="27.75" thickBot="1" x14ac:dyDescent="0.25">
      <c r="A149" s="73" t="s">
        <v>3</v>
      </c>
      <c r="B149" s="74" t="s">
        <v>15</v>
      </c>
      <c r="C149" s="73" t="s">
        <v>7</v>
      </c>
      <c r="D149" s="73" t="s">
        <v>13</v>
      </c>
    </row>
    <row r="150" spans="1:4" ht="13.5" x14ac:dyDescent="0.2">
      <c r="A150" s="9"/>
      <c r="B150" s="8"/>
      <c r="C150" s="13"/>
      <c r="D150" s="13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5"/>
      <c r="B153" s="6"/>
      <c r="C153" s="14"/>
      <c r="D153" s="14"/>
    </row>
    <row r="154" spans="1:4" ht="13.5" x14ac:dyDescent="0.2">
      <c r="A154" s="5"/>
      <c r="B154" s="6"/>
      <c r="C154" s="14"/>
      <c r="D154" s="14"/>
    </row>
    <row r="155" spans="1:4" ht="13.5" x14ac:dyDescent="0.2">
      <c r="A155" s="5"/>
      <c r="B155" s="6"/>
      <c r="C155" s="14"/>
      <c r="D155" s="14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6"/>
      <c r="B159" s="6"/>
      <c r="C159" s="14"/>
      <c r="D159" s="14"/>
    </row>
    <row r="160" spans="1:4" ht="13.5" x14ac:dyDescent="0.2">
      <c r="A160" s="6"/>
      <c r="B160" s="6"/>
      <c r="C160" s="14"/>
      <c r="D160" s="14"/>
    </row>
    <row r="161" spans="1:4" ht="13.5" x14ac:dyDescent="0.2">
      <c r="A161" s="6"/>
      <c r="B161" s="6"/>
      <c r="C161" s="14"/>
      <c r="D161" s="14"/>
    </row>
    <row r="162" spans="1:4" ht="13.5" x14ac:dyDescent="0.2">
      <c r="A162" s="78"/>
      <c r="B162" s="78"/>
      <c r="C162" s="79"/>
      <c r="D162" s="79"/>
    </row>
    <row r="163" spans="1:4" ht="13.5" x14ac:dyDescent="0.2">
      <c r="A163" s="78"/>
      <c r="B163" s="78"/>
      <c r="C163" s="79"/>
      <c r="D163" s="79"/>
    </row>
    <row r="164" spans="1:4" ht="14.25" thickBot="1" x14ac:dyDescent="0.25">
      <c r="A164" s="7"/>
      <c r="B164" s="7"/>
      <c r="C164" s="15"/>
      <c r="D164" s="15"/>
    </row>
    <row r="165" spans="1:4" ht="14.25" thickBot="1" x14ac:dyDescent="0.25">
      <c r="A165" s="75" t="s">
        <v>22</v>
      </c>
      <c r="B165" s="75">
        <f>SUM(B150:B164)</f>
        <v>0</v>
      </c>
      <c r="C165" s="104" t="s">
        <v>73</v>
      </c>
      <c r="D165" s="76"/>
    </row>
    <row r="166" spans="1:4" ht="15" thickBot="1" x14ac:dyDescent="0.35">
      <c r="A166" s="77"/>
      <c r="B166" s="77"/>
      <c r="C166" s="77"/>
      <c r="D166" s="77"/>
    </row>
    <row r="167" spans="1:4" ht="18.75" thickBot="1" x14ac:dyDescent="0.25">
      <c r="A167" s="70" t="s">
        <v>14</v>
      </c>
      <c r="B167" s="71">
        <v>15</v>
      </c>
      <c r="C167" s="72" t="s">
        <v>23</v>
      </c>
      <c r="D167" s="81">
        <v>42843</v>
      </c>
    </row>
    <row r="168" spans="1:4" ht="27.75" thickBot="1" x14ac:dyDescent="0.25">
      <c r="A168" s="73" t="s">
        <v>3</v>
      </c>
      <c r="B168" s="74" t="s">
        <v>15</v>
      </c>
      <c r="C168" s="73" t="s">
        <v>7</v>
      </c>
      <c r="D168" s="73" t="s">
        <v>13</v>
      </c>
    </row>
    <row r="169" spans="1:4" ht="13.5" x14ac:dyDescent="0.2">
      <c r="A169" s="9"/>
      <c r="B169" s="8"/>
      <c r="C169" s="13"/>
      <c r="D169" s="13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3.5" x14ac:dyDescent="0.2">
      <c r="A180" s="6"/>
      <c r="B180" s="6"/>
      <c r="C180" s="14"/>
      <c r="D180" s="14"/>
    </row>
    <row r="181" spans="1:4" ht="13.5" x14ac:dyDescent="0.2">
      <c r="A181" s="78"/>
      <c r="B181" s="78"/>
      <c r="C181" s="79"/>
      <c r="D181" s="79"/>
    </row>
    <row r="182" spans="1:4" ht="13.5" x14ac:dyDescent="0.2">
      <c r="A182" s="78"/>
      <c r="B182" s="78"/>
      <c r="C182" s="79"/>
      <c r="D182" s="79"/>
    </row>
    <row r="183" spans="1:4" ht="14.25" thickBot="1" x14ac:dyDescent="0.25">
      <c r="A183" s="7"/>
      <c r="B183" s="7"/>
      <c r="C183" s="15"/>
      <c r="D183" s="15"/>
    </row>
    <row r="184" spans="1:4" ht="14.25" thickBot="1" x14ac:dyDescent="0.25">
      <c r="A184" s="75" t="s">
        <v>22</v>
      </c>
      <c r="B184" s="75">
        <f>SUM(B169:B183)</f>
        <v>0</v>
      </c>
      <c r="C184" s="104" t="s">
        <v>73</v>
      </c>
      <c r="D184" s="76"/>
    </row>
    <row r="185" spans="1:4" ht="14.25" x14ac:dyDescent="0.3">
      <c r="A185" s="77"/>
      <c r="B185" s="77"/>
      <c r="C185" s="77"/>
      <c r="D185" s="77"/>
    </row>
    <row r="186" spans="1:4" x14ac:dyDescent="0.2">
      <c r="A186" s="105" t="s">
        <v>47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5 B10 B15 B20 B169:B183 B32:B38 B43 B48:B50 B55:B69 B74:B88 B93:B107 B112:B126 B131:B145 B150:B164 B25:B2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1 B16 B21 B28 B39 B44 B51 B70 B89 B108 B127 B146 B165 B184">
      <formula1>0</formula1>
      <formula2>NbPerWeek * NbQuartPer</formula2>
    </dataValidation>
    <dataValidation type="list" allowBlank="1" showInputMessage="1" showErrorMessage="1" sqref="A3:A5 A10 A15 A20 A169:A183 A32:A38 A43 A48:A50 A55:A69 A74:A88 A93:A107 A112:A126 A131:A145 A150:A164 A25:A27">
      <formula1>lstTasks</formula1>
    </dataValidation>
  </dataValidations>
  <hyperlinks>
    <hyperlink ref="D3" r:id="rId1" display="PDF"/>
    <hyperlink ref="D33" r:id="rId2"/>
    <hyperlink ref="D34" r:id="rId3"/>
    <hyperlink ref="D37" r:id="rId4"/>
    <hyperlink ref="D48" r:id="rId5"/>
    <hyperlink ref="D49" r:id="rId6"/>
    <hyperlink ref="D50" r:id="rId7"/>
    <hyperlink ref="D77" r:id="rId8"/>
    <hyperlink ref="D75" r:id="rId9"/>
    <hyperlink ref="D94" r:id="rId10"/>
    <hyperlink ref="D93" r:id="rId11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12"/>
  <headerFooter>
    <oddHeader>&amp;L&amp;"ETML L,Normal"&amp;24ETML</oddHeader>
    <oddFooter>&amp;C&amp;F&amp;L&amp;D</oddFooter>
  </headerFooter>
  <drawing r:id="rId13"/>
  <legacyDrawing r:id="rId14"/>
  <controls>
    <mc:AlternateContent xmlns:mc="http://schemas.openxmlformats.org/markup-compatibility/2006">
      <mc:Choice Requires="x14">
        <control shapeId="54273" r:id="rId15" name="btnImportRealisation">
          <controlPr defaultSize="0" autoLine="0" r:id="rId1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1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2017-03-21T15:18:56Z</dcterms:modified>
  <cp:contentStatus>Version 8.0</cp:contentStatus>
</cp:coreProperties>
</file>