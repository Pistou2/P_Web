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040-P_Web2\Git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Diagramme!$A$1:$MZ$39</definedName>
    <definedName name="_xlnm.Print_Area" localSheetId="0">Donnees!$A$1:$G$54</definedName>
    <definedName name="_xlnm.Print_Area" localSheetId="7">JNLTRAV!$A$1:$D$219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69" l="1"/>
  <c r="B33" i="169"/>
  <c r="B31" i="169"/>
  <c r="B29" i="169"/>
  <c r="B27" i="169"/>
  <c r="B25" i="169"/>
  <c r="B23" i="169"/>
  <c r="B21" i="169"/>
  <c r="B19" i="169"/>
  <c r="B17" i="169"/>
  <c r="B15" i="169"/>
  <c r="B13" i="169"/>
  <c r="B11" i="169"/>
  <c r="B9" i="169"/>
  <c r="B7" i="169"/>
  <c r="B5" i="169"/>
  <c r="C38" i="169"/>
  <c r="C37" i="169"/>
  <c r="B218" i="168"/>
  <c r="B199" i="168"/>
  <c r="B180" i="168"/>
  <c r="B161" i="168"/>
  <c r="B142" i="168"/>
  <c r="B123" i="168"/>
  <c r="B104" i="168"/>
  <c r="B85" i="168"/>
  <c r="B66" i="168"/>
  <c r="B47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<sst xmlns="http://schemas.openxmlformats.org/spreadsheetml/2006/main" count="390" uniqueCount="91">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</sst>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control" Target="../activeX/activeX7.xml"/><Relationship Id="rId2" Type="http://schemas.openxmlformats.org/officeDocument/2006/relationships/hyperlink" Target="http://www.w3schools.com/bootstrap/default.asp" TargetMode="External"/><Relationship Id="rId1" Type="http://schemas.openxmlformats.org/officeDocument/2006/relationships/hyperlink" Target="E-P_Web2-AMG001-CdC.pdf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5" sqref="C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51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52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53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71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46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8"/>
  <sheetViews>
    <sheetView view="pageBreakPreview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3" t="s">
        <v>30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5"/>
      <c r="AB2" s="123" t="s">
        <v>31</v>
      </c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5"/>
      <c r="AZ2" s="123" t="s">
        <v>32</v>
      </c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5"/>
      <c r="BX2" s="123" t="s">
        <v>33</v>
      </c>
      <c r="BY2" s="124"/>
      <c r="BZ2" s="124"/>
      <c r="CA2" s="124"/>
      <c r="CB2" s="124"/>
      <c r="CC2" s="124"/>
      <c r="CD2" s="124"/>
      <c r="CE2" s="124"/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4"/>
      <c r="CT2" s="124"/>
      <c r="CU2" s="125"/>
      <c r="CV2" s="123" t="s">
        <v>34</v>
      </c>
      <c r="CW2" s="124"/>
      <c r="CX2" s="124"/>
      <c r="CY2" s="124"/>
      <c r="CZ2" s="124"/>
      <c r="DA2" s="124"/>
      <c r="DB2" s="124"/>
      <c r="DC2" s="124"/>
      <c r="DD2" s="124"/>
      <c r="DE2" s="124"/>
      <c r="DF2" s="124"/>
      <c r="DG2" s="124"/>
      <c r="DH2" s="124"/>
      <c r="DI2" s="124"/>
      <c r="DJ2" s="124"/>
      <c r="DK2" s="124"/>
      <c r="DL2" s="124"/>
      <c r="DM2" s="124"/>
      <c r="DN2" s="124"/>
      <c r="DO2" s="124"/>
      <c r="DP2" s="124"/>
      <c r="DQ2" s="124"/>
      <c r="DR2" s="124"/>
      <c r="DS2" s="125"/>
      <c r="DT2" s="123" t="s">
        <v>35</v>
      </c>
      <c r="DU2" s="124"/>
      <c r="DV2" s="124"/>
      <c r="DW2" s="124"/>
      <c r="DX2" s="124"/>
      <c r="DY2" s="124"/>
      <c r="DZ2" s="124"/>
      <c r="EA2" s="124"/>
      <c r="EB2" s="124"/>
      <c r="EC2" s="124"/>
      <c r="ED2" s="124"/>
      <c r="EE2" s="124"/>
      <c r="EF2" s="124"/>
      <c r="EG2" s="124"/>
      <c r="EH2" s="124"/>
      <c r="EI2" s="124"/>
      <c r="EJ2" s="124"/>
      <c r="EK2" s="124"/>
      <c r="EL2" s="124"/>
      <c r="EM2" s="124"/>
      <c r="EN2" s="124"/>
      <c r="EO2" s="124"/>
      <c r="EP2" s="124"/>
      <c r="EQ2" s="125"/>
      <c r="ER2" s="123" t="s">
        <v>36</v>
      </c>
      <c r="ES2" s="124"/>
      <c r="ET2" s="124"/>
      <c r="EU2" s="124"/>
      <c r="EV2" s="124"/>
      <c r="EW2" s="124"/>
      <c r="EX2" s="124"/>
      <c r="EY2" s="124"/>
      <c r="EZ2" s="124"/>
      <c r="FA2" s="124"/>
      <c r="FB2" s="124"/>
      <c r="FC2" s="124"/>
      <c r="FD2" s="124"/>
      <c r="FE2" s="124"/>
      <c r="FF2" s="124"/>
      <c r="FG2" s="124"/>
      <c r="FH2" s="124"/>
      <c r="FI2" s="124"/>
      <c r="FJ2" s="124"/>
      <c r="FK2" s="124"/>
      <c r="FL2" s="124"/>
      <c r="FM2" s="124"/>
      <c r="FN2" s="124"/>
      <c r="FO2" s="125"/>
      <c r="FP2" s="123" t="s">
        <v>37</v>
      </c>
      <c r="FQ2" s="124"/>
      <c r="FR2" s="124"/>
      <c r="FS2" s="124"/>
      <c r="FT2" s="124"/>
      <c r="FU2" s="124"/>
      <c r="FV2" s="124"/>
      <c r="FW2" s="124"/>
      <c r="FX2" s="124"/>
      <c r="FY2" s="124"/>
      <c r="FZ2" s="124"/>
      <c r="GA2" s="124"/>
      <c r="GB2" s="124"/>
      <c r="GC2" s="124"/>
      <c r="GD2" s="124"/>
      <c r="GE2" s="124"/>
      <c r="GF2" s="124"/>
      <c r="GG2" s="124"/>
      <c r="GH2" s="124"/>
      <c r="GI2" s="124"/>
      <c r="GJ2" s="124"/>
      <c r="GK2" s="124"/>
      <c r="GL2" s="124"/>
      <c r="GM2" s="125"/>
      <c r="GN2" s="123" t="s">
        <v>38</v>
      </c>
      <c r="GO2" s="124"/>
      <c r="GP2" s="124"/>
      <c r="GQ2" s="124"/>
      <c r="GR2" s="124"/>
      <c r="GS2" s="124"/>
      <c r="GT2" s="124"/>
      <c r="GU2" s="124"/>
      <c r="GV2" s="124"/>
      <c r="GW2" s="124"/>
      <c r="GX2" s="124"/>
      <c r="GY2" s="124"/>
      <c r="GZ2" s="124"/>
      <c r="HA2" s="124"/>
      <c r="HB2" s="124"/>
      <c r="HC2" s="124"/>
      <c r="HD2" s="124"/>
      <c r="HE2" s="124"/>
      <c r="HF2" s="124"/>
      <c r="HG2" s="124"/>
      <c r="HH2" s="124"/>
      <c r="HI2" s="124"/>
      <c r="HJ2" s="124"/>
      <c r="HK2" s="125"/>
      <c r="HL2" s="123" t="s">
        <v>39</v>
      </c>
      <c r="HM2" s="124"/>
      <c r="HN2" s="124"/>
      <c r="HO2" s="124"/>
      <c r="HP2" s="124"/>
      <c r="HQ2" s="124"/>
      <c r="HR2" s="124"/>
      <c r="HS2" s="124"/>
      <c r="HT2" s="124"/>
      <c r="HU2" s="124"/>
      <c r="HV2" s="124"/>
      <c r="HW2" s="124"/>
      <c r="HX2" s="124"/>
      <c r="HY2" s="124"/>
      <c r="HZ2" s="124"/>
      <c r="IA2" s="124"/>
      <c r="IB2" s="124"/>
      <c r="IC2" s="124"/>
      <c r="ID2" s="124"/>
      <c r="IE2" s="124"/>
      <c r="IF2" s="124"/>
      <c r="IG2" s="124"/>
      <c r="IH2" s="124"/>
      <c r="II2" s="125"/>
      <c r="IJ2" s="123" t="s">
        <v>40</v>
      </c>
      <c r="IK2" s="124"/>
      <c r="IL2" s="124"/>
      <c r="IM2" s="124"/>
      <c r="IN2" s="124"/>
      <c r="IO2" s="124"/>
      <c r="IP2" s="124"/>
      <c r="IQ2" s="124"/>
      <c r="IR2" s="124"/>
      <c r="IS2" s="124"/>
      <c r="IT2" s="124"/>
      <c r="IU2" s="124"/>
      <c r="IV2" s="124"/>
      <c r="IW2" s="124"/>
      <c r="IX2" s="124"/>
      <c r="IY2" s="124"/>
      <c r="IZ2" s="124"/>
      <c r="JA2" s="124"/>
      <c r="JB2" s="124"/>
      <c r="JC2" s="124"/>
      <c r="JD2" s="124"/>
      <c r="JE2" s="124"/>
      <c r="JF2" s="124"/>
      <c r="JG2" s="125"/>
      <c r="JH2" s="123" t="s">
        <v>41</v>
      </c>
      <c r="JI2" s="124"/>
      <c r="JJ2" s="124"/>
      <c r="JK2" s="124"/>
      <c r="JL2" s="124"/>
      <c r="JM2" s="124"/>
      <c r="JN2" s="124"/>
      <c r="JO2" s="124"/>
      <c r="JP2" s="124"/>
      <c r="JQ2" s="124"/>
      <c r="JR2" s="124"/>
      <c r="JS2" s="124"/>
      <c r="JT2" s="124"/>
      <c r="JU2" s="124"/>
      <c r="JV2" s="124"/>
      <c r="JW2" s="124"/>
      <c r="JX2" s="124"/>
      <c r="JY2" s="124"/>
      <c r="JZ2" s="124"/>
      <c r="KA2" s="124"/>
      <c r="KB2" s="124"/>
      <c r="KC2" s="124"/>
      <c r="KD2" s="124"/>
      <c r="KE2" s="125"/>
      <c r="KF2" s="123" t="s">
        <v>42</v>
      </c>
      <c r="KG2" s="124"/>
      <c r="KH2" s="124"/>
      <c r="KI2" s="124"/>
      <c r="KJ2" s="124"/>
      <c r="KK2" s="124"/>
      <c r="KL2" s="124"/>
      <c r="KM2" s="124"/>
      <c r="KN2" s="124"/>
      <c r="KO2" s="124"/>
      <c r="KP2" s="124"/>
      <c r="KQ2" s="124"/>
      <c r="KR2" s="124"/>
      <c r="KS2" s="124"/>
      <c r="KT2" s="124"/>
      <c r="KU2" s="124"/>
      <c r="KV2" s="124"/>
      <c r="KW2" s="124"/>
      <c r="KX2" s="124"/>
      <c r="KY2" s="124"/>
      <c r="KZ2" s="124"/>
      <c r="LA2" s="124"/>
      <c r="LB2" s="124"/>
      <c r="LC2" s="125"/>
      <c r="LD2" s="123" t="s">
        <v>43</v>
      </c>
      <c r="LE2" s="124"/>
      <c r="LF2" s="124"/>
      <c r="LG2" s="124"/>
      <c r="LH2" s="124"/>
      <c r="LI2" s="124"/>
      <c r="LJ2" s="124"/>
      <c r="LK2" s="124"/>
      <c r="LL2" s="124"/>
      <c r="LM2" s="124"/>
      <c r="LN2" s="124"/>
      <c r="LO2" s="124"/>
      <c r="LP2" s="124"/>
      <c r="LQ2" s="124"/>
      <c r="LR2" s="124"/>
      <c r="LS2" s="124"/>
      <c r="LT2" s="124"/>
      <c r="LU2" s="124"/>
      <c r="LV2" s="124"/>
      <c r="LW2" s="124"/>
      <c r="LX2" s="124"/>
      <c r="LY2" s="124"/>
      <c r="LZ2" s="124"/>
      <c r="MA2" s="125"/>
      <c r="MB2" s="123" t="s">
        <v>44</v>
      </c>
      <c r="MC2" s="124"/>
      <c r="MD2" s="124"/>
      <c r="ME2" s="124"/>
      <c r="MF2" s="124"/>
      <c r="MG2" s="124"/>
      <c r="MH2" s="124"/>
      <c r="MI2" s="124"/>
      <c r="MJ2" s="124"/>
      <c r="MK2" s="124"/>
      <c r="ML2" s="124"/>
      <c r="MM2" s="124"/>
      <c r="MN2" s="124"/>
      <c r="MO2" s="124"/>
      <c r="MP2" s="124"/>
      <c r="MQ2" s="124"/>
      <c r="MR2" s="124"/>
      <c r="MS2" s="124"/>
      <c r="MT2" s="124"/>
      <c r="MU2" s="124"/>
      <c r="MV2" s="124"/>
      <c r="MW2" s="124"/>
      <c r="MX2" s="124"/>
      <c r="MY2" s="125"/>
    </row>
    <row r="3" spans="1:363" ht="19.5" customHeight="1" x14ac:dyDescent="0.2">
      <c r="A3" s="84"/>
      <c r="B3" s="126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7"/>
      <c r="C4" s="44">
        <v>94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90"/>
      <c r="ES4" s="91"/>
      <c r="ET4" s="91"/>
      <c r="EU4" s="91"/>
      <c r="EV4" s="91"/>
      <c r="EW4" s="92"/>
      <c r="EX4" s="93"/>
      <c r="EY4" s="91"/>
      <c r="EZ4" s="91"/>
      <c r="FA4" s="91"/>
      <c r="FB4" s="91"/>
      <c r="FC4" s="92"/>
      <c r="FD4" s="93"/>
      <c r="FE4" s="91"/>
      <c r="FF4" s="91"/>
      <c r="FG4" s="91"/>
      <c r="FH4" s="91"/>
      <c r="FI4" s="92"/>
      <c r="FJ4" s="93"/>
      <c r="FK4" s="91"/>
      <c r="FL4" s="91"/>
      <c r="FM4" s="91"/>
      <c r="FN4" s="91"/>
      <c r="FO4" s="94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1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2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1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2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1" t="str">
        <f>Donnees!$C$23</f>
        <v>Doc : Maquette Site</v>
      </c>
      <c r="C9" s="95">
        <v>32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107"/>
      <c r="BA9" s="108"/>
      <c r="BB9" s="108"/>
      <c r="BC9" s="108"/>
      <c r="BD9" s="108"/>
      <c r="BE9" s="109"/>
      <c r="BF9" s="110"/>
      <c r="BG9" s="108"/>
      <c r="BH9" s="108"/>
      <c r="BI9" s="108"/>
      <c r="BJ9" s="108"/>
      <c r="BK9" s="109"/>
      <c r="BL9" s="110"/>
      <c r="BM9" s="108"/>
      <c r="BN9" s="108"/>
      <c r="BO9" s="108"/>
      <c r="BP9" s="108"/>
      <c r="BQ9" s="109"/>
      <c r="BR9" s="110"/>
      <c r="BS9" s="108"/>
      <c r="BT9" s="108"/>
      <c r="BU9" s="108"/>
      <c r="BV9" s="108"/>
      <c r="BW9" s="111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2"/>
      <c r="C10" s="96">
        <v>0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91"/>
      <c r="EK10" s="92"/>
      <c r="EL10" s="93"/>
      <c r="EM10" s="91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1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2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1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2"/>
      <c r="C14" s="96">
        <v>12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91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1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2"/>
      <c r="C16" s="96">
        <v>6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115"/>
      <c r="EC16" s="115"/>
      <c r="ED16" s="115"/>
      <c r="EE16" s="116"/>
      <c r="EF16" s="117"/>
      <c r="EG16" s="115"/>
      <c r="EH16" s="91"/>
      <c r="EI16" s="91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1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2"/>
      <c r="C18" s="96">
        <v>0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91"/>
      <c r="EC18" s="91"/>
      <c r="ED18" s="91"/>
      <c r="EE18" s="92"/>
      <c r="EF18" s="93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1" t="str">
        <f>Donnees!$C$28</f>
        <v>Site : Accueil</v>
      </c>
      <c r="C19" s="95">
        <v>12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85"/>
      <c r="BA19" s="86"/>
      <c r="BB19" s="86"/>
      <c r="BC19" s="86"/>
      <c r="BD19" s="86"/>
      <c r="BE19" s="87"/>
      <c r="BF19" s="88"/>
      <c r="BG19" s="86"/>
      <c r="BH19" s="86"/>
      <c r="BI19" s="86"/>
      <c r="BJ19" s="86"/>
      <c r="BK19" s="87"/>
      <c r="BL19" s="88"/>
      <c r="BM19" s="86"/>
      <c r="BN19" s="86"/>
      <c r="BO19" s="86"/>
      <c r="BP19" s="86"/>
      <c r="BQ19" s="87"/>
      <c r="BR19" s="88"/>
      <c r="BS19" s="86"/>
      <c r="BT19" s="86"/>
      <c r="BU19" s="86"/>
      <c r="BV19" s="86"/>
      <c r="BW19" s="89"/>
      <c r="BX19" s="107"/>
      <c r="BY19" s="108"/>
      <c r="BZ19" s="108"/>
      <c r="CA19" s="108"/>
      <c r="CB19" s="108"/>
      <c r="CC19" s="109"/>
      <c r="CD19" s="110"/>
      <c r="CE19" s="108"/>
      <c r="CF19" s="108"/>
      <c r="CG19" s="108"/>
      <c r="CH19" s="108"/>
      <c r="CI19" s="109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2"/>
      <c r="C20" s="96">
        <v>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91"/>
      <c r="EO20" s="91"/>
      <c r="EP20" s="91"/>
      <c r="EQ20" s="94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90"/>
      <c r="FQ20" s="91"/>
      <c r="FR20" s="91"/>
      <c r="FS20" s="91"/>
      <c r="FT20" s="91"/>
      <c r="FU20" s="92"/>
      <c r="FV20" s="93"/>
      <c r="FW20" s="91"/>
      <c r="FX20" s="91"/>
      <c r="FY20" s="91"/>
      <c r="FZ20" s="91"/>
      <c r="GA20" s="92"/>
      <c r="GB20" s="93"/>
      <c r="GC20" s="91"/>
      <c r="GD20" s="91"/>
      <c r="GE20" s="91"/>
      <c r="GF20" s="91"/>
      <c r="GG20" s="92"/>
      <c r="GH20" s="93"/>
      <c r="GI20" s="91"/>
      <c r="GJ20" s="91"/>
      <c r="GK20" s="91"/>
      <c r="GL20" s="91"/>
      <c r="GM20" s="94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93"/>
      <c r="HA20" s="91"/>
      <c r="HB20" s="91"/>
      <c r="HC20" s="91"/>
      <c r="HD20" s="91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1" t="str">
        <f>Donnees!$C$29</f>
        <v>Site : Liste ouvrages</v>
      </c>
      <c r="C21" s="95">
        <v>24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85"/>
      <c r="BY21" s="86"/>
      <c r="BZ21" s="86"/>
      <c r="CA21" s="86"/>
      <c r="CB21" s="86"/>
      <c r="CC21" s="87"/>
      <c r="CD21" s="88"/>
      <c r="CE21" s="86"/>
      <c r="CF21" s="86"/>
      <c r="CG21" s="86"/>
      <c r="CH21" s="86"/>
      <c r="CI21" s="87"/>
      <c r="CJ21" s="110"/>
      <c r="CK21" s="108"/>
      <c r="CL21" s="108"/>
      <c r="CM21" s="108"/>
      <c r="CN21" s="108"/>
      <c r="CO21" s="109"/>
      <c r="CP21" s="110"/>
      <c r="CQ21" s="108"/>
      <c r="CR21" s="108"/>
      <c r="CS21" s="108"/>
      <c r="CT21" s="108"/>
      <c r="CU21" s="111"/>
      <c r="CV21" s="107"/>
      <c r="CW21" s="108"/>
      <c r="CX21" s="108"/>
      <c r="CY21" s="108"/>
      <c r="CZ21" s="108"/>
      <c r="DA21" s="109"/>
      <c r="DB21" s="110"/>
      <c r="DC21" s="108"/>
      <c r="DD21" s="108"/>
      <c r="DE21" s="108"/>
      <c r="DF21" s="108"/>
      <c r="DG21" s="109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2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1" t="str">
        <f>Donnees!$C$30</f>
        <v>Site : Ajout ouvrage</v>
      </c>
      <c r="C23" s="95">
        <v>12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88"/>
      <c r="CK23" s="86"/>
      <c r="CL23" s="86"/>
      <c r="CM23" s="86"/>
      <c r="CN23" s="86"/>
      <c r="CO23" s="87"/>
      <c r="CP23" s="88"/>
      <c r="CQ23" s="86"/>
      <c r="CR23" s="86"/>
      <c r="CS23" s="86"/>
      <c r="CT23" s="86"/>
      <c r="CU23" s="89"/>
      <c r="CV23" s="85"/>
      <c r="CW23" s="86"/>
      <c r="CX23" s="86"/>
      <c r="CY23" s="86"/>
      <c r="CZ23" s="86"/>
      <c r="DA23" s="87"/>
      <c r="DB23" s="88"/>
      <c r="DC23" s="86"/>
      <c r="DD23" s="86"/>
      <c r="DE23" s="86"/>
      <c r="DF23" s="86"/>
      <c r="DG23" s="87"/>
      <c r="DH23" s="110"/>
      <c r="DI23" s="108"/>
      <c r="DJ23" s="108"/>
      <c r="DK23" s="108"/>
      <c r="DL23" s="108"/>
      <c r="DM23" s="109"/>
      <c r="DN23" s="110"/>
      <c r="DO23" s="108"/>
      <c r="DP23" s="108"/>
      <c r="DQ23" s="108"/>
      <c r="DR23" s="108"/>
      <c r="DS23" s="111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2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1" t="str">
        <f>Donnees!$C$31</f>
        <v>Site : Appréciation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88"/>
      <c r="DI25" s="86"/>
      <c r="DJ25" s="86"/>
      <c r="DK25" s="86"/>
      <c r="DL25" s="86"/>
      <c r="DM25" s="87"/>
      <c r="DN25" s="88"/>
      <c r="DO25" s="86"/>
      <c r="DP25" s="86"/>
      <c r="DQ25" s="86"/>
      <c r="DR25" s="86"/>
      <c r="DS25" s="89"/>
      <c r="DT25" s="107"/>
      <c r="DU25" s="108"/>
      <c r="DV25" s="108"/>
      <c r="DW25" s="108"/>
      <c r="DX25" s="108"/>
      <c r="DY25" s="109"/>
      <c r="DZ25" s="110"/>
      <c r="EA25" s="108"/>
      <c r="EB25" s="108"/>
      <c r="EC25" s="108"/>
      <c r="ED25" s="108"/>
      <c r="EE25" s="109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2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1" t="str">
        <f>Donnees!$C$32</f>
        <v>Site : Login / Création de compte</v>
      </c>
      <c r="C27" s="95">
        <v>18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85"/>
      <c r="DU27" s="86"/>
      <c r="DV27" s="86"/>
      <c r="DW27" s="86"/>
      <c r="DX27" s="86"/>
      <c r="DY27" s="87"/>
      <c r="DZ27" s="88"/>
      <c r="EA27" s="86"/>
      <c r="EB27" s="86"/>
      <c r="EC27" s="86"/>
      <c r="ED27" s="86"/>
      <c r="EE27" s="87"/>
      <c r="EF27" s="110"/>
      <c r="EG27" s="108"/>
      <c r="EH27" s="108"/>
      <c r="EI27" s="108"/>
      <c r="EJ27" s="108"/>
      <c r="EK27" s="109"/>
      <c r="EL27" s="110"/>
      <c r="EM27" s="108"/>
      <c r="EN27" s="108"/>
      <c r="EO27" s="108"/>
      <c r="EP27" s="108"/>
      <c r="EQ27" s="111"/>
      <c r="ER27" s="107"/>
      <c r="ES27" s="108"/>
      <c r="ET27" s="108"/>
      <c r="EU27" s="108"/>
      <c r="EV27" s="108"/>
      <c r="EW27" s="109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2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1" t="str">
        <f>Donnees!$C$33</f>
        <v>Site : Contact</v>
      </c>
      <c r="C29" s="95">
        <v>12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88"/>
      <c r="EG29" s="86"/>
      <c r="EH29" s="86"/>
      <c r="EI29" s="86"/>
      <c r="EJ29" s="86"/>
      <c r="EK29" s="87"/>
      <c r="EL29" s="88"/>
      <c r="EM29" s="86"/>
      <c r="EN29" s="86"/>
      <c r="EO29" s="86"/>
      <c r="EP29" s="86"/>
      <c r="EQ29" s="89"/>
      <c r="ER29" s="85"/>
      <c r="ES29" s="86"/>
      <c r="ET29" s="86"/>
      <c r="EU29" s="86"/>
      <c r="EV29" s="86"/>
      <c r="EW29" s="87"/>
      <c r="EX29" s="110"/>
      <c r="EY29" s="108"/>
      <c r="EZ29" s="108"/>
      <c r="FA29" s="108"/>
      <c r="FB29" s="108"/>
      <c r="FC29" s="109"/>
      <c r="FD29" s="110"/>
      <c r="FE29" s="108"/>
      <c r="FF29" s="108"/>
      <c r="FG29" s="108"/>
      <c r="FH29" s="108"/>
      <c r="FI29" s="109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2"/>
      <c r="C30" s="96">
        <v>0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1" t="str">
        <f>Donnees!$C$34</f>
        <v>Site : Point écoconception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88"/>
      <c r="EY31" s="86"/>
      <c r="EZ31" s="86"/>
      <c r="FA31" s="86"/>
      <c r="FB31" s="86"/>
      <c r="FC31" s="87"/>
      <c r="FD31" s="88"/>
      <c r="FE31" s="86"/>
      <c r="FF31" s="86"/>
      <c r="FG31" s="86"/>
      <c r="FH31" s="86"/>
      <c r="FI31" s="87"/>
      <c r="FJ31" s="110"/>
      <c r="FK31" s="108"/>
      <c r="FL31" s="108"/>
      <c r="FM31" s="108"/>
      <c r="FN31" s="108"/>
      <c r="FO31" s="111"/>
      <c r="FP31" s="107"/>
      <c r="FQ31" s="108"/>
      <c r="FR31" s="108"/>
      <c r="FS31" s="108"/>
      <c r="FT31" s="108"/>
      <c r="FU31" s="109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2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1" t="str">
        <f>Donnees!$C$35</f>
        <v>Site : Tests / Finitions</v>
      </c>
      <c r="C33" s="95">
        <v>30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88"/>
      <c r="FK33" s="86"/>
      <c r="FL33" s="86"/>
      <c r="FM33" s="86"/>
      <c r="FN33" s="86"/>
      <c r="FO33" s="89"/>
      <c r="FP33" s="85"/>
      <c r="FQ33" s="86"/>
      <c r="FR33" s="86"/>
      <c r="FS33" s="86"/>
      <c r="FT33" s="86"/>
      <c r="FU33" s="87"/>
      <c r="FV33" s="110"/>
      <c r="FW33" s="108"/>
      <c r="FX33" s="108"/>
      <c r="FY33" s="108"/>
      <c r="FZ33" s="108"/>
      <c r="GA33" s="109"/>
      <c r="GB33" s="110"/>
      <c r="GC33" s="108"/>
      <c r="GD33" s="108"/>
      <c r="GE33" s="108"/>
      <c r="GF33" s="108"/>
      <c r="GG33" s="109"/>
      <c r="GH33" s="110"/>
      <c r="GI33" s="108"/>
      <c r="GJ33" s="108"/>
      <c r="GK33" s="108"/>
      <c r="GL33" s="108"/>
      <c r="GM33" s="111"/>
      <c r="GN33" s="107"/>
      <c r="GO33" s="108"/>
      <c r="GP33" s="108"/>
      <c r="GQ33" s="108"/>
      <c r="GR33" s="108"/>
      <c r="GS33" s="109"/>
      <c r="GT33" s="110"/>
      <c r="GU33" s="108"/>
      <c r="GV33" s="108"/>
      <c r="GW33" s="108"/>
      <c r="GX33" s="108"/>
      <c r="GY33" s="109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2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1" t="str">
        <f>Donnees!$C$36</f>
        <v>Autre</v>
      </c>
      <c r="C35" s="95">
        <v>138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108"/>
      <c r="AE35" s="108"/>
      <c r="AF35" s="108"/>
      <c r="AG35" s="109"/>
      <c r="AH35" s="110"/>
      <c r="AI35" s="108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88"/>
      <c r="FW35" s="86"/>
      <c r="FX35" s="86"/>
      <c r="FY35" s="86"/>
      <c r="FZ35" s="86"/>
      <c r="GA35" s="87"/>
      <c r="GB35" s="88"/>
      <c r="GC35" s="86"/>
      <c r="GD35" s="86"/>
      <c r="GE35" s="86"/>
      <c r="GF35" s="86"/>
      <c r="GG35" s="87"/>
      <c r="GH35" s="88"/>
      <c r="GI35" s="86"/>
      <c r="GJ35" s="86"/>
      <c r="GK35" s="86"/>
      <c r="GL35" s="86"/>
      <c r="GM35" s="89"/>
      <c r="GN35" s="85"/>
      <c r="GO35" s="86"/>
      <c r="GP35" s="86"/>
      <c r="GQ35" s="86"/>
      <c r="GR35" s="86"/>
      <c r="GS35" s="87"/>
      <c r="GT35" s="88"/>
      <c r="GU35" s="86"/>
      <c r="GV35" s="86"/>
      <c r="GW35" s="86"/>
      <c r="GX35" s="86"/>
      <c r="GY35" s="87"/>
      <c r="GZ35" s="110"/>
      <c r="HA35" s="108"/>
      <c r="HB35" s="108"/>
      <c r="HC35" s="108"/>
      <c r="HD35" s="108"/>
      <c r="HE35" s="109"/>
      <c r="HF35" s="110"/>
      <c r="HG35" s="108"/>
      <c r="HH35" s="108"/>
      <c r="HI35" s="108"/>
      <c r="HJ35" s="108"/>
      <c r="HK35" s="111"/>
      <c r="HL35" s="107"/>
      <c r="HM35" s="108"/>
      <c r="HN35" s="108"/>
      <c r="HO35" s="108"/>
      <c r="HP35" s="108"/>
      <c r="HQ35" s="109"/>
      <c r="HR35" s="110"/>
      <c r="HS35" s="108"/>
      <c r="HT35" s="108"/>
      <c r="HU35" s="108"/>
      <c r="HV35" s="108"/>
      <c r="HW35" s="109"/>
      <c r="HX35" s="110"/>
      <c r="HY35" s="108"/>
      <c r="HZ35" s="108"/>
      <c r="IA35" s="108"/>
      <c r="IB35" s="108"/>
      <c r="IC35" s="109"/>
      <c r="ID35" s="110"/>
      <c r="IE35" s="108"/>
      <c r="IF35" s="108"/>
      <c r="IG35" s="108"/>
      <c r="IH35" s="108"/>
      <c r="II35" s="111"/>
      <c r="IJ35" s="107"/>
      <c r="IK35" s="108"/>
      <c r="IL35" s="108"/>
      <c r="IM35" s="108"/>
      <c r="IN35" s="108"/>
      <c r="IO35" s="109"/>
      <c r="IP35" s="110"/>
      <c r="IQ35" s="108"/>
      <c r="IR35" s="108"/>
      <c r="IS35" s="108"/>
      <c r="IT35" s="108"/>
      <c r="IU35" s="109"/>
      <c r="IV35" s="110"/>
      <c r="IW35" s="108"/>
      <c r="IX35" s="108"/>
      <c r="IY35" s="108"/>
      <c r="IZ35" s="108"/>
      <c r="JA35" s="109"/>
      <c r="JB35" s="110"/>
      <c r="JC35" s="108"/>
      <c r="JD35" s="108"/>
      <c r="JE35" s="108"/>
      <c r="JF35" s="108"/>
      <c r="JG35" s="111"/>
      <c r="JH35" s="107"/>
      <c r="JI35" s="108"/>
      <c r="JJ35" s="108"/>
      <c r="JK35" s="108"/>
      <c r="JL35" s="108"/>
      <c r="JM35" s="109"/>
      <c r="JN35" s="110"/>
      <c r="JO35" s="108"/>
      <c r="JP35" s="108"/>
      <c r="JQ35" s="108"/>
      <c r="JR35" s="108"/>
      <c r="JS35" s="109"/>
      <c r="JT35" s="110"/>
      <c r="JU35" s="108"/>
      <c r="JV35" s="108"/>
      <c r="JW35" s="108"/>
      <c r="JX35" s="108"/>
      <c r="JY35" s="109"/>
      <c r="JZ35" s="110"/>
      <c r="KA35" s="108"/>
      <c r="KB35" s="108"/>
      <c r="KC35" s="108"/>
      <c r="KD35" s="108"/>
      <c r="KE35" s="111"/>
      <c r="KF35" s="107"/>
      <c r="KG35" s="108"/>
      <c r="KH35" s="108"/>
      <c r="KI35" s="108"/>
      <c r="KJ35" s="108"/>
      <c r="KK35" s="109"/>
      <c r="KL35" s="110"/>
      <c r="KM35" s="108"/>
      <c r="KN35" s="108"/>
      <c r="KO35" s="108"/>
      <c r="KP35" s="108"/>
      <c r="KQ35" s="109"/>
      <c r="KR35" s="110"/>
      <c r="KS35" s="108"/>
      <c r="KT35" s="108"/>
      <c r="KU35" s="108"/>
      <c r="KV35" s="108"/>
      <c r="KW35" s="109"/>
      <c r="KX35" s="110"/>
      <c r="KY35" s="108"/>
      <c r="KZ35" s="108"/>
      <c r="LA35" s="108"/>
      <c r="LB35" s="108"/>
      <c r="LC35" s="111"/>
      <c r="LD35" s="107"/>
      <c r="LE35" s="108"/>
      <c r="LF35" s="108"/>
      <c r="LG35" s="108"/>
      <c r="LH35" s="108"/>
      <c r="LI35" s="109"/>
      <c r="LJ35" s="110"/>
      <c r="LK35" s="108"/>
      <c r="LL35" s="108"/>
      <c r="LM35" s="108"/>
      <c r="LN35" s="108"/>
      <c r="LO35" s="109"/>
      <c r="LP35" s="110"/>
      <c r="LQ35" s="108"/>
      <c r="LR35" s="108"/>
      <c r="LS35" s="108"/>
      <c r="LT35" s="108"/>
      <c r="LU35" s="109"/>
      <c r="LV35" s="110"/>
      <c r="LW35" s="108"/>
      <c r="LX35" s="108"/>
      <c r="LY35" s="108"/>
      <c r="LZ35" s="108"/>
      <c r="MA35" s="111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x14ac:dyDescent="0.2">
      <c r="B36" s="122"/>
      <c r="C36" s="96">
        <v>6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115"/>
      <c r="DW36" s="115"/>
      <c r="DX36" s="115"/>
      <c r="DY36" s="116"/>
      <c r="DZ36" s="117"/>
      <c r="EA36" s="115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47" t="s">
        <v>16</v>
      </c>
      <c r="C37" s="49">
        <f>SUM($C$3,$C$5,$C$7,$C$9,$C$11,$C$13,$C$15,$C$17,$C$19,$C$21,$C$23,$C$25,$C$27,$C$29,$C$31,$C$33,$C$35)</f>
        <v>360</v>
      </c>
      <c r="D37" s="97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9"/>
      <c r="AB37" s="97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9"/>
      <c r="AZ37" s="97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9"/>
      <c r="BX37" s="97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9"/>
      <c r="CV37" s="97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9"/>
      <c r="DT37" s="97"/>
      <c r="DU37" s="98"/>
      <c r="DV37" s="98"/>
      <c r="DW37" s="98"/>
      <c r="DX37" s="98"/>
      <c r="DY37" s="98"/>
      <c r="DZ37" s="98"/>
      <c r="EA37" s="98"/>
      <c r="EB37" s="98"/>
      <c r="EC37" s="98"/>
      <c r="ED37" s="98"/>
      <c r="EE37" s="98"/>
      <c r="EF37" s="98"/>
      <c r="EG37" s="98"/>
      <c r="EH37" s="98"/>
      <c r="EI37" s="98"/>
      <c r="EJ37" s="98"/>
      <c r="EK37" s="98"/>
      <c r="EL37" s="98"/>
      <c r="EM37" s="98"/>
      <c r="EN37" s="98"/>
      <c r="EO37" s="98"/>
      <c r="EP37" s="98"/>
      <c r="EQ37" s="99"/>
      <c r="ER37" s="97"/>
      <c r="ES37" s="98"/>
      <c r="ET37" s="98"/>
      <c r="EU37" s="98"/>
      <c r="EV37" s="98"/>
      <c r="EW37" s="98"/>
      <c r="EX37" s="98"/>
      <c r="EY37" s="98"/>
      <c r="EZ37" s="98"/>
      <c r="FA37" s="98"/>
      <c r="FB37" s="98"/>
      <c r="FC37" s="98"/>
      <c r="FD37" s="98"/>
      <c r="FE37" s="98"/>
      <c r="FF37" s="98"/>
      <c r="FG37" s="98"/>
      <c r="FH37" s="98"/>
      <c r="FI37" s="98"/>
      <c r="FJ37" s="98"/>
      <c r="FK37" s="98"/>
      <c r="FL37" s="98"/>
      <c r="FM37" s="98"/>
      <c r="FN37" s="98"/>
      <c r="FO37" s="99"/>
      <c r="FP37" s="97"/>
      <c r="FQ37" s="98"/>
      <c r="FR37" s="98"/>
      <c r="FS37" s="98"/>
      <c r="FT37" s="98"/>
      <c r="FU37" s="98"/>
      <c r="FV37" s="98"/>
      <c r="FW37" s="98"/>
      <c r="FX37" s="98"/>
      <c r="FY37" s="98"/>
      <c r="FZ37" s="98"/>
      <c r="GA37" s="98"/>
      <c r="GB37" s="98"/>
      <c r="GC37" s="98"/>
      <c r="GD37" s="98"/>
      <c r="GE37" s="98"/>
      <c r="GF37" s="98"/>
      <c r="GG37" s="98"/>
      <c r="GH37" s="98"/>
      <c r="GI37" s="98"/>
      <c r="GJ37" s="98"/>
      <c r="GK37" s="98"/>
      <c r="GL37" s="98"/>
      <c r="GM37" s="99"/>
      <c r="GN37" s="97"/>
      <c r="GO37" s="98"/>
      <c r="GP37" s="98"/>
      <c r="GQ37" s="98"/>
      <c r="GR37" s="98"/>
      <c r="GS37" s="98"/>
      <c r="GT37" s="98"/>
      <c r="GU37" s="98"/>
      <c r="GV37" s="98"/>
      <c r="GW37" s="98"/>
      <c r="GX37" s="98"/>
      <c r="GY37" s="98"/>
      <c r="GZ37" s="98"/>
      <c r="HA37" s="98"/>
      <c r="HB37" s="98"/>
      <c r="HC37" s="98"/>
      <c r="HD37" s="98"/>
      <c r="HE37" s="98"/>
      <c r="HF37" s="98"/>
      <c r="HG37" s="98"/>
      <c r="HH37" s="98"/>
      <c r="HI37" s="98"/>
      <c r="HJ37" s="98"/>
      <c r="HK37" s="99"/>
      <c r="HL37" s="97"/>
      <c r="HM37" s="98"/>
      <c r="HN37" s="98"/>
      <c r="HO37" s="98"/>
      <c r="HP37" s="98"/>
      <c r="HQ37" s="98"/>
      <c r="HR37" s="98"/>
      <c r="HS37" s="98"/>
      <c r="HT37" s="98"/>
      <c r="HU37" s="98"/>
      <c r="HV37" s="98"/>
      <c r="HW37" s="98"/>
      <c r="HX37" s="98"/>
      <c r="HY37" s="98"/>
      <c r="HZ37" s="98"/>
      <c r="IA37" s="98"/>
      <c r="IB37" s="98"/>
      <c r="IC37" s="98"/>
      <c r="ID37" s="98"/>
      <c r="IE37" s="98"/>
      <c r="IF37" s="98"/>
      <c r="IG37" s="98"/>
      <c r="IH37" s="98"/>
      <c r="II37" s="99"/>
      <c r="IJ37" s="97"/>
      <c r="IK37" s="98"/>
      <c r="IL37" s="98"/>
      <c r="IM37" s="98"/>
      <c r="IN37" s="98"/>
      <c r="IO37" s="98"/>
      <c r="IP37" s="98"/>
      <c r="IQ37" s="98"/>
      <c r="IR37" s="98"/>
      <c r="IS37" s="98"/>
      <c r="IT37" s="98"/>
      <c r="IU37" s="98"/>
      <c r="IV37" s="98"/>
      <c r="IW37" s="98"/>
      <c r="IX37" s="98"/>
      <c r="IY37" s="98"/>
      <c r="IZ37" s="98"/>
      <c r="JA37" s="98"/>
      <c r="JB37" s="98"/>
      <c r="JC37" s="98"/>
      <c r="JD37" s="98"/>
      <c r="JE37" s="98"/>
      <c r="JF37" s="98"/>
      <c r="JG37" s="99"/>
      <c r="JH37" s="97"/>
      <c r="JI37" s="98"/>
      <c r="JJ37" s="98"/>
      <c r="JK37" s="98"/>
      <c r="JL37" s="98"/>
      <c r="JM37" s="98"/>
      <c r="JN37" s="98"/>
      <c r="JO37" s="98"/>
      <c r="JP37" s="98"/>
      <c r="JQ37" s="98"/>
      <c r="JR37" s="98"/>
      <c r="JS37" s="98"/>
      <c r="JT37" s="98"/>
      <c r="JU37" s="98"/>
      <c r="JV37" s="98"/>
      <c r="JW37" s="98"/>
      <c r="JX37" s="98"/>
      <c r="JY37" s="98"/>
      <c r="JZ37" s="98"/>
      <c r="KA37" s="98"/>
      <c r="KB37" s="98"/>
      <c r="KC37" s="98"/>
      <c r="KD37" s="98"/>
      <c r="KE37" s="99"/>
      <c r="KF37" s="97"/>
      <c r="KG37" s="98"/>
      <c r="KH37" s="98"/>
      <c r="KI37" s="98"/>
      <c r="KJ37" s="98"/>
      <c r="KK37" s="98"/>
      <c r="KL37" s="98"/>
      <c r="KM37" s="98"/>
      <c r="KN37" s="98"/>
      <c r="KO37" s="98"/>
      <c r="KP37" s="98"/>
      <c r="KQ37" s="98"/>
      <c r="KR37" s="98"/>
      <c r="KS37" s="98"/>
      <c r="KT37" s="98"/>
      <c r="KU37" s="98"/>
      <c r="KV37" s="98"/>
      <c r="KW37" s="98"/>
      <c r="KX37" s="98"/>
      <c r="KY37" s="98"/>
      <c r="KZ37" s="98"/>
      <c r="LA37" s="98"/>
      <c r="LB37" s="98"/>
      <c r="LC37" s="99"/>
      <c r="LD37" s="97"/>
      <c r="LE37" s="98"/>
      <c r="LF37" s="98"/>
      <c r="LG37" s="98"/>
      <c r="LH37" s="98"/>
      <c r="LI37" s="98"/>
      <c r="LJ37" s="98"/>
      <c r="LK37" s="98"/>
      <c r="LL37" s="98"/>
      <c r="LM37" s="98"/>
      <c r="LN37" s="98"/>
      <c r="LO37" s="98"/>
      <c r="LP37" s="98"/>
      <c r="LQ37" s="98"/>
      <c r="LR37" s="98"/>
      <c r="LS37" s="98"/>
      <c r="LT37" s="98"/>
      <c r="LU37" s="98"/>
      <c r="LV37" s="98"/>
      <c r="LW37" s="98"/>
      <c r="LX37" s="98"/>
      <c r="LY37" s="98"/>
      <c r="LZ37" s="98"/>
      <c r="MA37" s="99"/>
      <c r="MB37" s="97"/>
      <c r="MC37" s="98"/>
      <c r="MD37" s="98"/>
      <c r="ME37" s="98"/>
      <c r="MF37" s="98"/>
      <c r="MG37" s="98"/>
      <c r="MH37" s="98"/>
      <c r="MI37" s="98"/>
      <c r="MJ37" s="98"/>
      <c r="MK37" s="98"/>
      <c r="ML37" s="98"/>
      <c r="MM37" s="98"/>
      <c r="MN37" s="98"/>
      <c r="MO37" s="98"/>
      <c r="MP37" s="98"/>
      <c r="MQ37" s="98"/>
      <c r="MR37" s="98"/>
      <c r="MS37" s="98"/>
      <c r="MT37" s="98"/>
      <c r="MU37" s="98"/>
      <c r="MV37" s="98"/>
      <c r="MW37" s="98"/>
      <c r="MX37" s="98"/>
      <c r="MY37" s="99"/>
    </row>
    <row r="38" spans="2:36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134</v>
      </c>
      <c r="D38" s="100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2"/>
      <c r="AB38" s="100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2"/>
      <c r="AZ38" s="100"/>
      <c r="BA38" s="101"/>
      <c r="BB38" s="101"/>
      <c r="BC38" s="101"/>
      <c r="BD38" s="101"/>
      <c r="BE38" s="101"/>
      <c r="BF38" s="101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  <c r="BR38" s="101"/>
      <c r="BS38" s="101"/>
      <c r="BT38" s="101"/>
      <c r="BU38" s="101"/>
      <c r="BV38" s="101"/>
      <c r="BW38" s="102"/>
      <c r="BX38" s="100"/>
      <c r="BY38" s="101"/>
      <c r="BZ38" s="101"/>
      <c r="CA38" s="101"/>
      <c r="CB38" s="101"/>
      <c r="CC38" s="101"/>
      <c r="CD38" s="101"/>
      <c r="CE38" s="101"/>
      <c r="CF38" s="101"/>
      <c r="CG38" s="101"/>
      <c r="CH38" s="101"/>
      <c r="CI38" s="101"/>
      <c r="CJ38" s="101"/>
      <c r="CK38" s="101"/>
      <c r="CL38" s="101"/>
      <c r="CM38" s="101"/>
      <c r="CN38" s="101"/>
      <c r="CO38" s="101"/>
      <c r="CP38" s="101"/>
      <c r="CQ38" s="101"/>
      <c r="CR38" s="101"/>
      <c r="CS38" s="101"/>
      <c r="CT38" s="101"/>
      <c r="CU38" s="102"/>
      <c r="CV38" s="100"/>
      <c r="CW38" s="101"/>
      <c r="CX38" s="101"/>
      <c r="CY38" s="101"/>
      <c r="CZ38" s="101"/>
      <c r="DA38" s="101"/>
      <c r="DB38" s="101"/>
      <c r="DC38" s="101"/>
      <c r="DD38" s="101"/>
      <c r="DE38" s="101"/>
      <c r="DF38" s="101"/>
      <c r="DG38" s="101"/>
      <c r="DH38" s="101"/>
      <c r="DI38" s="101"/>
      <c r="DJ38" s="101"/>
      <c r="DK38" s="101"/>
      <c r="DL38" s="101"/>
      <c r="DM38" s="101"/>
      <c r="DN38" s="101"/>
      <c r="DO38" s="101"/>
      <c r="DP38" s="101"/>
      <c r="DQ38" s="101"/>
      <c r="DR38" s="101"/>
      <c r="DS38" s="102"/>
      <c r="DT38" s="100"/>
      <c r="DU38" s="101"/>
      <c r="DV38" s="101"/>
      <c r="DW38" s="101"/>
      <c r="DX38" s="101"/>
      <c r="DY38" s="101"/>
      <c r="DZ38" s="101"/>
      <c r="EA38" s="101"/>
      <c r="EB38" s="101"/>
      <c r="EC38" s="101"/>
      <c r="ED38" s="101"/>
      <c r="EE38" s="101"/>
      <c r="EF38" s="101"/>
      <c r="EG38" s="101"/>
      <c r="EH38" s="101"/>
      <c r="EI38" s="101"/>
      <c r="EJ38" s="101"/>
      <c r="EK38" s="101"/>
      <c r="EL38" s="101"/>
      <c r="EM38" s="101"/>
      <c r="EN38" s="101"/>
      <c r="EO38" s="101"/>
      <c r="EP38" s="101"/>
      <c r="EQ38" s="102"/>
      <c r="ER38" s="100"/>
      <c r="ES38" s="101"/>
      <c r="ET38" s="101"/>
      <c r="EU38" s="101"/>
      <c r="EV38" s="101"/>
      <c r="EW38" s="101"/>
      <c r="EX38" s="101"/>
      <c r="EY38" s="101"/>
      <c r="EZ38" s="101"/>
      <c r="FA38" s="101"/>
      <c r="FB38" s="101"/>
      <c r="FC38" s="101"/>
      <c r="FD38" s="101"/>
      <c r="FE38" s="101"/>
      <c r="FF38" s="101"/>
      <c r="FG38" s="101"/>
      <c r="FH38" s="101"/>
      <c r="FI38" s="101"/>
      <c r="FJ38" s="101"/>
      <c r="FK38" s="101"/>
      <c r="FL38" s="101"/>
      <c r="FM38" s="101"/>
      <c r="FN38" s="101"/>
      <c r="FO38" s="102"/>
      <c r="FP38" s="100"/>
      <c r="FQ38" s="101"/>
      <c r="FR38" s="101"/>
      <c r="FS38" s="101"/>
      <c r="FT38" s="101"/>
      <c r="FU38" s="101"/>
      <c r="FV38" s="101"/>
      <c r="FW38" s="101"/>
      <c r="FX38" s="101"/>
      <c r="FY38" s="101"/>
      <c r="FZ38" s="101"/>
      <c r="GA38" s="101"/>
      <c r="GB38" s="101"/>
      <c r="GC38" s="101"/>
      <c r="GD38" s="101"/>
      <c r="GE38" s="101"/>
      <c r="GF38" s="101"/>
      <c r="GG38" s="101"/>
      <c r="GH38" s="101"/>
      <c r="GI38" s="101"/>
      <c r="GJ38" s="101"/>
      <c r="GK38" s="101"/>
      <c r="GL38" s="101"/>
      <c r="GM38" s="102"/>
      <c r="GN38" s="100"/>
      <c r="GO38" s="101"/>
      <c r="GP38" s="101"/>
      <c r="GQ38" s="101"/>
      <c r="GR38" s="101"/>
      <c r="GS38" s="101"/>
      <c r="GT38" s="101"/>
      <c r="GU38" s="101"/>
      <c r="GV38" s="101"/>
      <c r="GW38" s="101"/>
      <c r="GX38" s="101"/>
      <c r="GY38" s="101"/>
      <c r="GZ38" s="101"/>
      <c r="HA38" s="101"/>
      <c r="HB38" s="101"/>
      <c r="HC38" s="101"/>
      <c r="HD38" s="101"/>
      <c r="HE38" s="101"/>
      <c r="HF38" s="101"/>
      <c r="HG38" s="101"/>
      <c r="HH38" s="101"/>
      <c r="HI38" s="101"/>
      <c r="HJ38" s="101"/>
      <c r="HK38" s="102"/>
      <c r="HL38" s="100"/>
      <c r="HM38" s="101"/>
      <c r="HN38" s="101"/>
      <c r="HO38" s="101"/>
      <c r="HP38" s="101"/>
      <c r="HQ38" s="101"/>
      <c r="HR38" s="101"/>
      <c r="HS38" s="101"/>
      <c r="HT38" s="101"/>
      <c r="HU38" s="101"/>
      <c r="HV38" s="101"/>
      <c r="HW38" s="101"/>
      <c r="HX38" s="101"/>
      <c r="HY38" s="101"/>
      <c r="HZ38" s="101"/>
      <c r="IA38" s="101"/>
      <c r="IB38" s="101"/>
      <c r="IC38" s="101"/>
      <c r="ID38" s="101"/>
      <c r="IE38" s="101"/>
      <c r="IF38" s="101"/>
      <c r="IG38" s="101"/>
      <c r="IH38" s="101"/>
      <c r="II38" s="102"/>
      <c r="IJ38" s="100"/>
      <c r="IK38" s="101"/>
      <c r="IL38" s="101"/>
      <c r="IM38" s="101"/>
      <c r="IN38" s="101"/>
      <c r="IO38" s="101"/>
      <c r="IP38" s="101"/>
      <c r="IQ38" s="101"/>
      <c r="IR38" s="101"/>
      <c r="IS38" s="101"/>
      <c r="IT38" s="101"/>
      <c r="IU38" s="101"/>
      <c r="IV38" s="101"/>
      <c r="IW38" s="101"/>
      <c r="IX38" s="101"/>
      <c r="IY38" s="101"/>
      <c r="IZ38" s="101"/>
      <c r="JA38" s="101"/>
      <c r="JB38" s="101"/>
      <c r="JC38" s="101"/>
      <c r="JD38" s="101"/>
      <c r="JE38" s="101"/>
      <c r="JF38" s="101"/>
      <c r="JG38" s="102"/>
      <c r="JH38" s="100"/>
      <c r="JI38" s="101"/>
      <c r="JJ38" s="101"/>
      <c r="JK38" s="101"/>
      <c r="JL38" s="101"/>
      <c r="JM38" s="101"/>
      <c r="JN38" s="101"/>
      <c r="JO38" s="101"/>
      <c r="JP38" s="101"/>
      <c r="JQ38" s="101"/>
      <c r="JR38" s="101"/>
      <c r="JS38" s="101"/>
      <c r="JT38" s="101"/>
      <c r="JU38" s="101"/>
      <c r="JV38" s="101"/>
      <c r="JW38" s="101"/>
      <c r="JX38" s="101"/>
      <c r="JY38" s="101"/>
      <c r="JZ38" s="101"/>
      <c r="KA38" s="101"/>
      <c r="KB38" s="101"/>
      <c r="KC38" s="101"/>
      <c r="KD38" s="101"/>
      <c r="KE38" s="102"/>
      <c r="KF38" s="100"/>
      <c r="KG38" s="101"/>
      <c r="KH38" s="101"/>
      <c r="KI38" s="101"/>
      <c r="KJ38" s="101"/>
      <c r="KK38" s="101"/>
      <c r="KL38" s="101"/>
      <c r="KM38" s="101"/>
      <c r="KN38" s="101"/>
      <c r="KO38" s="101"/>
      <c r="KP38" s="101"/>
      <c r="KQ38" s="101"/>
      <c r="KR38" s="101"/>
      <c r="KS38" s="101"/>
      <c r="KT38" s="101"/>
      <c r="KU38" s="101"/>
      <c r="KV38" s="101"/>
      <c r="KW38" s="101"/>
      <c r="KX38" s="101"/>
      <c r="KY38" s="101"/>
      <c r="KZ38" s="101"/>
      <c r="LA38" s="101"/>
      <c r="LB38" s="101"/>
      <c r="LC38" s="102"/>
      <c r="LD38" s="100"/>
      <c r="LE38" s="101"/>
      <c r="LF38" s="101"/>
      <c r="LG38" s="101"/>
      <c r="LH38" s="101"/>
      <c r="LI38" s="101"/>
      <c r="LJ38" s="101"/>
      <c r="LK38" s="101"/>
      <c r="LL38" s="101"/>
      <c r="LM38" s="101"/>
      <c r="LN38" s="101"/>
      <c r="LO38" s="101"/>
      <c r="LP38" s="101"/>
      <c r="LQ38" s="101"/>
      <c r="LR38" s="101"/>
      <c r="LS38" s="101"/>
      <c r="LT38" s="101"/>
      <c r="LU38" s="101"/>
      <c r="LV38" s="101"/>
      <c r="LW38" s="101"/>
      <c r="LX38" s="101"/>
      <c r="LY38" s="101"/>
      <c r="LZ38" s="101"/>
      <c r="MA38" s="102"/>
      <c r="MB38" s="100"/>
      <c r="MC38" s="101"/>
      <c r="MD38" s="101"/>
      <c r="ME38" s="101"/>
      <c r="MF38" s="101"/>
      <c r="MG38" s="101"/>
      <c r="MH38" s="101"/>
      <c r="MI38" s="101"/>
      <c r="MJ38" s="101"/>
      <c r="MK38" s="101"/>
      <c r="ML38" s="101"/>
      <c r="MM38" s="101"/>
      <c r="MN38" s="101"/>
      <c r="MO38" s="101"/>
      <c r="MP38" s="101"/>
      <c r="MQ38" s="101"/>
      <c r="MR38" s="101"/>
      <c r="MS38" s="101"/>
      <c r="MT38" s="101"/>
      <c r="MU38" s="101"/>
      <c r="MV38" s="101"/>
      <c r="MW38" s="101"/>
      <c r="MX38" s="101"/>
      <c r="MY38" s="102"/>
    </row>
  </sheetData>
  <sheetProtection sheet="1" objects="1" scenarios="1" insertRows="0" selectLockedCells="1"/>
  <mergeCells count="32">
    <mergeCell ref="LD2:MA2"/>
    <mergeCell ref="MB2:MY2"/>
    <mergeCell ref="FP2:GM2"/>
    <mergeCell ref="GN2:HK2"/>
    <mergeCell ref="HL2:II2"/>
    <mergeCell ref="IJ2:JG2"/>
    <mergeCell ref="JH2:KE2"/>
    <mergeCell ref="KF2:LC2"/>
    <mergeCell ref="ER2:FO2"/>
    <mergeCell ref="B27:B28"/>
    <mergeCell ref="B29:B30"/>
    <mergeCell ref="B31:B32"/>
    <mergeCell ref="B33:B34"/>
    <mergeCell ref="AB2:AY2"/>
    <mergeCell ref="AZ2:BW2"/>
    <mergeCell ref="BX2:CU2"/>
    <mergeCell ref="CV2:DS2"/>
    <mergeCell ref="DT2:EQ2"/>
    <mergeCell ref="B35:B36"/>
    <mergeCell ref="D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topLeftCell="A4" zoomScale="115" zoomScaleNormal="100" zoomScaleSheetLayoutView="115" workbookViewId="0">
      <selection activeCell="C13" sqref="C1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50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10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20"/>
  <sheetViews>
    <sheetView tabSelected="1" view="pageBreakPreview" topLeftCell="A31" zoomScale="115" zoomScaleNormal="100" zoomScaleSheetLayoutView="115" workbookViewId="0">
      <selection activeCell="C38" sqref="C38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1</v>
      </c>
      <c r="C36" s="14" t="s">
        <v>87</v>
      </c>
      <c r="D36" s="14"/>
    </row>
    <row r="37" spans="1:4" ht="27" x14ac:dyDescent="0.2">
      <c r="A37" s="5" t="s">
        <v>50</v>
      </c>
      <c r="B37" s="6">
        <v>5</v>
      </c>
      <c r="C37" s="14" t="s">
        <v>88</v>
      </c>
      <c r="D37" s="14" t="s">
        <v>89</v>
      </c>
    </row>
    <row r="38" spans="1:4" ht="13.5" x14ac:dyDescent="0.2">
      <c r="A38" s="5" t="s">
        <v>51</v>
      </c>
      <c r="B38" s="6">
        <v>4</v>
      </c>
      <c r="C38" s="14" t="s">
        <v>90</v>
      </c>
      <c r="D38" s="14"/>
    </row>
    <row r="39" spans="1:4" ht="13.5" x14ac:dyDescent="0.2">
      <c r="A39" s="5"/>
      <c r="B39" s="6"/>
      <c r="C39" s="14"/>
      <c r="D39" s="14"/>
    </row>
    <row r="40" spans="1:4" ht="13.5" x14ac:dyDescent="0.2">
      <c r="A40" s="5"/>
      <c r="B40" s="6"/>
      <c r="C40" s="14"/>
      <c r="D40" s="14"/>
    </row>
    <row r="41" spans="1:4" ht="13.5" x14ac:dyDescent="0.2">
      <c r="A41" s="6"/>
      <c r="B41" s="6"/>
      <c r="C41" s="14"/>
      <c r="D41" s="14"/>
    </row>
    <row r="42" spans="1:4" ht="13.5" x14ac:dyDescent="0.2">
      <c r="A42" s="6"/>
      <c r="B42" s="6"/>
      <c r="C42" s="14"/>
      <c r="D42" s="14"/>
    </row>
    <row r="43" spans="1:4" ht="13.5" x14ac:dyDescent="0.2">
      <c r="A43" s="6"/>
      <c r="B43" s="6"/>
      <c r="C43" s="14"/>
      <c r="D43" s="14"/>
    </row>
    <row r="44" spans="1:4" ht="13.5" x14ac:dyDescent="0.2">
      <c r="A44" s="78"/>
      <c r="B44" s="78"/>
      <c r="C44" s="79"/>
      <c r="D44" s="79"/>
    </row>
    <row r="45" spans="1:4" ht="13.5" x14ac:dyDescent="0.2">
      <c r="A45" s="78"/>
      <c r="B45" s="78"/>
      <c r="C45" s="79"/>
      <c r="D45" s="79"/>
    </row>
    <row r="46" spans="1:4" ht="14.25" thickBot="1" x14ac:dyDescent="0.25">
      <c r="A46" s="7"/>
      <c r="B46" s="7"/>
      <c r="C46" s="15"/>
      <c r="D46" s="15"/>
    </row>
    <row r="47" spans="1:4" ht="14.25" thickBot="1" x14ac:dyDescent="0.25">
      <c r="A47" s="75" t="s">
        <v>22</v>
      </c>
      <c r="B47" s="75">
        <f>SUM(B32:B46)</f>
        <v>24</v>
      </c>
      <c r="C47" s="104" t="s">
        <v>73</v>
      </c>
      <c r="D47" s="76"/>
    </row>
    <row r="48" spans="1:4" ht="15" thickBot="1" x14ac:dyDescent="0.35">
      <c r="A48" s="77"/>
      <c r="B48" s="77"/>
      <c r="C48" s="77"/>
      <c r="D48" s="77"/>
    </row>
    <row r="49" spans="1:4" ht="18.75" thickBot="1" x14ac:dyDescent="0.25">
      <c r="A49" s="70" t="s">
        <v>14</v>
      </c>
      <c r="B49" s="71">
        <v>7</v>
      </c>
      <c r="C49" s="72" t="s">
        <v>23</v>
      </c>
      <c r="D49" s="81">
        <v>42787</v>
      </c>
    </row>
    <row r="50" spans="1:4" ht="27.75" thickBot="1" x14ac:dyDescent="0.25">
      <c r="A50" s="73" t="s">
        <v>3</v>
      </c>
      <c r="B50" s="74" t="s">
        <v>15</v>
      </c>
      <c r="C50" s="73" t="s">
        <v>7</v>
      </c>
      <c r="D50" s="73" t="s">
        <v>13</v>
      </c>
    </row>
    <row r="51" spans="1:4" ht="13.5" x14ac:dyDescent="0.2">
      <c r="A51" s="9"/>
      <c r="B51" s="8"/>
      <c r="C51" s="13"/>
      <c r="D51" s="13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3.5" x14ac:dyDescent="0.2">
      <c r="A63" s="78"/>
      <c r="B63" s="78"/>
      <c r="C63" s="79"/>
      <c r="D63" s="79"/>
    </row>
    <row r="64" spans="1:4" ht="13.5" x14ac:dyDescent="0.2">
      <c r="A64" s="78"/>
      <c r="B64" s="78"/>
      <c r="C64" s="79"/>
      <c r="D64" s="79"/>
    </row>
    <row r="65" spans="1:4" ht="14.25" thickBot="1" x14ac:dyDescent="0.25">
      <c r="A65" s="7"/>
      <c r="B65" s="7"/>
      <c r="C65" s="15"/>
      <c r="D65" s="15"/>
    </row>
    <row r="66" spans="1:4" ht="14.25" thickBot="1" x14ac:dyDescent="0.25">
      <c r="A66" s="75" t="s">
        <v>22</v>
      </c>
      <c r="B66" s="75">
        <f>SUM(B51:B65)</f>
        <v>0</v>
      </c>
      <c r="C66" s="104" t="s">
        <v>73</v>
      </c>
      <c r="D66" s="76"/>
    </row>
    <row r="67" spans="1:4" ht="15" thickBot="1" x14ac:dyDescent="0.35">
      <c r="A67" s="77"/>
      <c r="B67" s="77"/>
      <c r="C67" s="77"/>
      <c r="D67" s="77"/>
    </row>
    <row r="68" spans="1:4" ht="18.75" thickBot="1" x14ac:dyDescent="0.25">
      <c r="A68" s="70" t="s">
        <v>14</v>
      </c>
      <c r="B68" s="71">
        <v>8</v>
      </c>
      <c r="C68" s="72" t="s">
        <v>23</v>
      </c>
      <c r="D68" s="81">
        <v>42794</v>
      </c>
    </row>
    <row r="69" spans="1:4" ht="27.75" thickBot="1" x14ac:dyDescent="0.25">
      <c r="A69" s="73" t="s">
        <v>3</v>
      </c>
      <c r="B69" s="74" t="s">
        <v>15</v>
      </c>
      <c r="C69" s="73" t="s">
        <v>7</v>
      </c>
      <c r="D69" s="73" t="s">
        <v>13</v>
      </c>
    </row>
    <row r="70" spans="1:4" ht="13.5" x14ac:dyDescent="0.2">
      <c r="A70" s="9"/>
      <c r="B70" s="8"/>
      <c r="C70" s="13"/>
      <c r="D70" s="13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3.5" x14ac:dyDescent="0.2">
      <c r="A82" s="78"/>
      <c r="B82" s="78"/>
      <c r="C82" s="79"/>
      <c r="D82" s="79"/>
    </row>
    <row r="83" spans="1:4" ht="13.5" x14ac:dyDescent="0.2">
      <c r="A83" s="78"/>
      <c r="B83" s="78"/>
      <c r="C83" s="79"/>
      <c r="D83" s="79"/>
    </row>
    <row r="84" spans="1:4" ht="14.25" thickBot="1" x14ac:dyDescent="0.25">
      <c r="A84" s="7"/>
      <c r="B84" s="7"/>
      <c r="C84" s="15"/>
      <c r="D84" s="15"/>
    </row>
    <row r="85" spans="1:4" ht="14.25" thickBot="1" x14ac:dyDescent="0.25">
      <c r="A85" s="75" t="s">
        <v>22</v>
      </c>
      <c r="B85" s="75">
        <f>SUM(B70:B84)</f>
        <v>0</v>
      </c>
      <c r="C85" s="104" t="s">
        <v>73</v>
      </c>
      <c r="D85" s="76"/>
    </row>
    <row r="86" spans="1:4" ht="15" thickBot="1" x14ac:dyDescent="0.35">
      <c r="A86" s="77"/>
      <c r="B86" s="77"/>
      <c r="C86" s="77"/>
      <c r="D86" s="77"/>
    </row>
    <row r="87" spans="1:4" ht="18.75" thickBot="1" x14ac:dyDescent="0.25">
      <c r="A87" s="70" t="s">
        <v>14</v>
      </c>
      <c r="B87" s="71">
        <v>9</v>
      </c>
      <c r="C87" s="72" t="s">
        <v>23</v>
      </c>
      <c r="D87" s="81">
        <v>42801</v>
      </c>
    </row>
    <row r="88" spans="1:4" ht="27.75" thickBot="1" x14ac:dyDescent="0.25">
      <c r="A88" s="73" t="s">
        <v>3</v>
      </c>
      <c r="B88" s="74" t="s">
        <v>15</v>
      </c>
      <c r="C88" s="73" t="s">
        <v>7</v>
      </c>
      <c r="D88" s="73" t="s">
        <v>13</v>
      </c>
    </row>
    <row r="89" spans="1:4" ht="13.5" x14ac:dyDescent="0.2">
      <c r="A89" s="9"/>
      <c r="B89" s="8"/>
      <c r="C89" s="13"/>
      <c r="D89" s="13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6"/>
      <c r="B100" s="6"/>
      <c r="C100" s="14"/>
      <c r="D100" s="14"/>
    </row>
    <row r="101" spans="1:4" ht="13.5" x14ac:dyDescent="0.2">
      <c r="A101" s="78"/>
      <c r="B101" s="78"/>
      <c r="C101" s="79"/>
      <c r="D101" s="79"/>
    </row>
    <row r="102" spans="1:4" ht="13.5" x14ac:dyDescent="0.2">
      <c r="A102" s="78"/>
      <c r="B102" s="78"/>
      <c r="C102" s="79"/>
      <c r="D102" s="79"/>
    </row>
    <row r="103" spans="1:4" ht="14.25" thickBot="1" x14ac:dyDescent="0.25">
      <c r="A103" s="7"/>
      <c r="B103" s="7"/>
      <c r="C103" s="15"/>
      <c r="D103" s="15"/>
    </row>
    <row r="104" spans="1:4" ht="14.25" thickBot="1" x14ac:dyDescent="0.25">
      <c r="A104" s="75" t="s">
        <v>22</v>
      </c>
      <c r="B104" s="75">
        <f>SUM(B89:B103)</f>
        <v>0</v>
      </c>
      <c r="C104" s="104" t="s">
        <v>73</v>
      </c>
      <c r="D104" s="76"/>
    </row>
    <row r="105" spans="1:4" ht="15" thickBot="1" x14ac:dyDescent="0.35">
      <c r="A105" s="77"/>
      <c r="B105" s="77"/>
      <c r="C105" s="77"/>
      <c r="D105" s="77"/>
    </row>
    <row r="106" spans="1:4" ht="18.75" thickBot="1" x14ac:dyDescent="0.25">
      <c r="A106" s="70" t="s">
        <v>14</v>
      </c>
      <c r="B106" s="71">
        <v>10</v>
      </c>
      <c r="C106" s="72" t="s">
        <v>23</v>
      </c>
      <c r="D106" s="81">
        <v>42808</v>
      </c>
    </row>
    <row r="107" spans="1:4" ht="27.75" thickBot="1" x14ac:dyDescent="0.25">
      <c r="A107" s="73" t="s">
        <v>3</v>
      </c>
      <c r="B107" s="74" t="s">
        <v>15</v>
      </c>
      <c r="C107" s="73" t="s">
        <v>7</v>
      </c>
      <c r="D107" s="73" t="s">
        <v>13</v>
      </c>
    </row>
    <row r="108" spans="1:4" ht="13.5" x14ac:dyDescent="0.2">
      <c r="A108" s="9"/>
      <c r="B108" s="8"/>
      <c r="C108" s="13"/>
      <c r="D108" s="13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6"/>
      <c r="B118" s="6"/>
      <c r="C118" s="14"/>
      <c r="D118" s="14"/>
    </row>
    <row r="119" spans="1:4" ht="13.5" x14ac:dyDescent="0.2">
      <c r="A119" s="6"/>
      <c r="B119" s="6"/>
      <c r="C119" s="14"/>
      <c r="D119" s="14"/>
    </row>
    <row r="120" spans="1:4" ht="13.5" x14ac:dyDescent="0.2">
      <c r="A120" s="78"/>
      <c r="B120" s="78"/>
      <c r="C120" s="79"/>
      <c r="D120" s="79"/>
    </row>
    <row r="121" spans="1:4" ht="13.5" x14ac:dyDescent="0.2">
      <c r="A121" s="78"/>
      <c r="B121" s="78"/>
      <c r="C121" s="79"/>
      <c r="D121" s="79"/>
    </row>
    <row r="122" spans="1:4" ht="14.25" thickBot="1" x14ac:dyDescent="0.25">
      <c r="A122" s="7"/>
      <c r="B122" s="7"/>
      <c r="C122" s="15"/>
      <c r="D122" s="15"/>
    </row>
    <row r="123" spans="1:4" ht="14.25" thickBot="1" x14ac:dyDescent="0.25">
      <c r="A123" s="75" t="s">
        <v>22</v>
      </c>
      <c r="B123" s="75">
        <f>SUM(B108:B122)</f>
        <v>0</v>
      </c>
      <c r="C123" s="104" t="s">
        <v>73</v>
      </c>
      <c r="D123" s="76"/>
    </row>
    <row r="124" spans="1:4" ht="15" thickBot="1" x14ac:dyDescent="0.35">
      <c r="A124" s="77"/>
      <c r="B124" s="77"/>
      <c r="C124" s="77"/>
      <c r="D124" s="77"/>
    </row>
    <row r="125" spans="1:4" ht="18.75" thickBot="1" x14ac:dyDescent="0.25">
      <c r="A125" s="70" t="s">
        <v>14</v>
      </c>
      <c r="B125" s="71">
        <v>11</v>
      </c>
      <c r="C125" s="72" t="s">
        <v>23</v>
      </c>
      <c r="D125" s="81">
        <v>42815</v>
      </c>
    </row>
    <row r="126" spans="1:4" ht="27.75" thickBot="1" x14ac:dyDescent="0.25">
      <c r="A126" s="73" t="s">
        <v>3</v>
      </c>
      <c r="B126" s="74" t="s">
        <v>15</v>
      </c>
      <c r="C126" s="73" t="s">
        <v>7</v>
      </c>
      <c r="D126" s="73" t="s">
        <v>13</v>
      </c>
    </row>
    <row r="127" spans="1:4" ht="13.5" x14ac:dyDescent="0.2">
      <c r="A127" s="9"/>
      <c r="B127" s="8"/>
      <c r="C127" s="13"/>
      <c r="D127" s="13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3.5" x14ac:dyDescent="0.2">
      <c r="A138" s="6"/>
      <c r="B138" s="6"/>
      <c r="C138" s="14"/>
      <c r="D138" s="14"/>
    </row>
    <row r="139" spans="1:4" ht="13.5" x14ac:dyDescent="0.2">
      <c r="A139" s="78"/>
      <c r="B139" s="78"/>
      <c r="C139" s="79"/>
      <c r="D139" s="79"/>
    </row>
    <row r="140" spans="1:4" ht="13.5" x14ac:dyDescent="0.2">
      <c r="A140" s="78"/>
      <c r="B140" s="78"/>
      <c r="C140" s="79"/>
      <c r="D140" s="79"/>
    </row>
    <row r="141" spans="1:4" ht="14.25" thickBot="1" x14ac:dyDescent="0.25">
      <c r="A141" s="7"/>
      <c r="B141" s="7"/>
      <c r="C141" s="15"/>
      <c r="D141" s="15"/>
    </row>
    <row r="142" spans="1:4" ht="14.25" thickBot="1" x14ac:dyDescent="0.25">
      <c r="A142" s="75" t="s">
        <v>22</v>
      </c>
      <c r="B142" s="75">
        <f>SUM(B127:B141)</f>
        <v>0</v>
      </c>
      <c r="C142" s="104" t="s">
        <v>73</v>
      </c>
      <c r="D142" s="76"/>
    </row>
    <row r="143" spans="1:4" ht="15" thickBot="1" x14ac:dyDescent="0.35">
      <c r="A143" s="77"/>
      <c r="B143" s="77"/>
      <c r="C143" s="77"/>
      <c r="D143" s="77"/>
    </row>
    <row r="144" spans="1:4" ht="18.75" thickBot="1" x14ac:dyDescent="0.25">
      <c r="A144" s="70" t="s">
        <v>14</v>
      </c>
      <c r="B144" s="71">
        <v>12</v>
      </c>
      <c r="C144" s="72" t="s">
        <v>23</v>
      </c>
      <c r="D144" s="81">
        <v>42822</v>
      </c>
    </row>
    <row r="145" spans="1:4" ht="27.75" thickBot="1" x14ac:dyDescent="0.25">
      <c r="A145" s="73" t="s">
        <v>3</v>
      </c>
      <c r="B145" s="74" t="s">
        <v>15</v>
      </c>
      <c r="C145" s="73" t="s">
        <v>7</v>
      </c>
      <c r="D145" s="73" t="s">
        <v>13</v>
      </c>
    </row>
    <row r="146" spans="1:4" ht="13.5" x14ac:dyDescent="0.2">
      <c r="A146" s="9"/>
      <c r="B146" s="8"/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6"/>
      <c r="B155" s="6"/>
      <c r="C155" s="14"/>
      <c r="D155" s="14"/>
    </row>
    <row r="156" spans="1:4" ht="13.5" x14ac:dyDescent="0.2">
      <c r="A156" s="6"/>
      <c r="B156" s="6"/>
      <c r="C156" s="14"/>
      <c r="D156" s="14"/>
    </row>
    <row r="157" spans="1:4" ht="13.5" x14ac:dyDescent="0.2">
      <c r="A157" s="6"/>
      <c r="B157" s="6"/>
      <c r="C157" s="14"/>
      <c r="D157" s="14"/>
    </row>
    <row r="158" spans="1:4" ht="13.5" x14ac:dyDescent="0.2">
      <c r="A158" s="78"/>
      <c r="B158" s="78"/>
      <c r="C158" s="79"/>
      <c r="D158" s="79"/>
    </row>
    <row r="159" spans="1:4" ht="13.5" x14ac:dyDescent="0.2">
      <c r="A159" s="78"/>
      <c r="B159" s="78"/>
      <c r="C159" s="79"/>
      <c r="D159" s="79"/>
    </row>
    <row r="160" spans="1:4" ht="14.25" thickBot="1" x14ac:dyDescent="0.25">
      <c r="A160" s="7"/>
      <c r="B160" s="7"/>
      <c r="C160" s="15"/>
      <c r="D160" s="15"/>
    </row>
    <row r="161" spans="1:4" ht="14.25" thickBot="1" x14ac:dyDescent="0.25">
      <c r="A161" s="75" t="s">
        <v>22</v>
      </c>
      <c r="B161" s="75">
        <f>SUM(B146:B160)</f>
        <v>0</v>
      </c>
      <c r="C161" s="104" t="s">
        <v>73</v>
      </c>
      <c r="D161" s="76"/>
    </row>
    <row r="162" spans="1:4" ht="15" thickBot="1" x14ac:dyDescent="0.35">
      <c r="A162" s="77"/>
      <c r="B162" s="77"/>
      <c r="C162" s="77"/>
      <c r="D162" s="77"/>
    </row>
    <row r="163" spans="1:4" ht="18.75" thickBot="1" x14ac:dyDescent="0.25">
      <c r="A163" s="70" t="s">
        <v>14</v>
      </c>
      <c r="B163" s="71">
        <v>13</v>
      </c>
      <c r="C163" s="72" t="s">
        <v>23</v>
      </c>
      <c r="D163" s="81">
        <v>42829</v>
      </c>
    </row>
    <row r="164" spans="1:4" ht="27.75" thickBot="1" x14ac:dyDescent="0.25">
      <c r="A164" s="73" t="s">
        <v>3</v>
      </c>
      <c r="B164" s="74" t="s">
        <v>15</v>
      </c>
      <c r="C164" s="73" t="s">
        <v>7</v>
      </c>
      <c r="D164" s="73" t="s">
        <v>13</v>
      </c>
    </row>
    <row r="165" spans="1:4" ht="13.5" x14ac:dyDescent="0.2">
      <c r="A165" s="9"/>
      <c r="B165" s="8"/>
      <c r="C165" s="13"/>
      <c r="D165" s="13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6"/>
      <c r="B174" s="6"/>
      <c r="C174" s="14"/>
      <c r="D174" s="14"/>
    </row>
    <row r="175" spans="1:4" ht="13.5" x14ac:dyDescent="0.2">
      <c r="A175" s="6"/>
      <c r="B175" s="6"/>
      <c r="C175" s="14"/>
      <c r="D175" s="14"/>
    </row>
    <row r="176" spans="1:4" ht="13.5" x14ac:dyDescent="0.2">
      <c r="A176" s="6"/>
      <c r="B176" s="6"/>
      <c r="C176" s="14"/>
      <c r="D176" s="14"/>
    </row>
    <row r="177" spans="1:4" ht="13.5" x14ac:dyDescent="0.2">
      <c r="A177" s="78"/>
      <c r="B177" s="78"/>
      <c r="C177" s="79"/>
      <c r="D177" s="79"/>
    </row>
    <row r="178" spans="1:4" ht="13.5" x14ac:dyDescent="0.2">
      <c r="A178" s="78"/>
      <c r="B178" s="78"/>
      <c r="C178" s="79"/>
      <c r="D178" s="79"/>
    </row>
    <row r="179" spans="1:4" ht="14.25" thickBot="1" x14ac:dyDescent="0.25">
      <c r="A179" s="7"/>
      <c r="B179" s="7"/>
      <c r="C179" s="15"/>
      <c r="D179" s="15"/>
    </row>
    <row r="180" spans="1:4" ht="14.25" thickBot="1" x14ac:dyDescent="0.25">
      <c r="A180" s="75" t="s">
        <v>22</v>
      </c>
      <c r="B180" s="75">
        <f>SUM(B165:B179)</f>
        <v>0</v>
      </c>
      <c r="C180" s="104" t="s">
        <v>73</v>
      </c>
      <c r="D180" s="76"/>
    </row>
    <row r="181" spans="1:4" ht="15" thickBot="1" x14ac:dyDescent="0.35">
      <c r="A181" s="77"/>
      <c r="B181" s="77"/>
      <c r="C181" s="77"/>
      <c r="D181" s="77"/>
    </row>
    <row r="182" spans="1:4" ht="18.75" thickBot="1" x14ac:dyDescent="0.25">
      <c r="A182" s="70" t="s">
        <v>14</v>
      </c>
      <c r="B182" s="71">
        <v>14</v>
      </c>
      <c r="C182" s="72" t="s">
        <v>23</v>
      </c>
      <c r="D182" s="81">
        <v>42836</v>
      </c>
    </row>
    <row r="183" spans="1:4" ht="27.75" thickBot="1" x14ac:dyDescent="0.25">
      <c r="A183" s="73" t="s">
        <v>3</v>
      </c>
      <c r="B183" s="74" t="s">
        <v>15</v>
      </c>
      <c r="C183" s="73" t="s">
        <v>7</v>
      </c>
      <c r="D183" s="73" t="s">
        <v>13</v>
      </c>
    </row>
    <row r="184" spans="1:4" ht="13.5" x14ac:dyDescent="0.2">
      <c r="A184" s="9"/>
      <c r="B184" s="8"/>
      <c r="C184" s="13"/>
      <c r="D184" s="13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5"/>
      <c r="B191" s="6"/>
      <c r="C191" s="14"/>
      <c r="D191" s="14"/>
    </row>
    <row r="192" spans="1:4" ht="13.5" x14ac:dyDescent="0.2">
      <c r="A192" s="5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3.5" x14ac:dyDescent="0.2">
      <c r="A194" s="6"/>
      <c r="B194" s="6"/>
      <c r="C194" s="14"/>
      <c r="D194" s="14"/>
    </row>
    <row r="195" spans="1:4" ht="13.5" x14ac:dyDescent="0.2">
      <c r="A195" s="6"/>
      <c r="B195" s="6"/>
      <c r="C195" s="14"/>
      <c r="D195" s="14"/>
    </row>
    <row r="196" spans="1:4" ht="13.5" x14ac:dyDescent="0.2">
      <c r="A196" s="78"/>
      <c r="B196" s="78"/>
      <c r="C196" s="79"/>
      <c r="D196" s="79"/>
    </row>
    <row r="197" spans="1:4" ht="13.5" x14ac:dyDescent="0.2">
      <c r="A197" s="78"/>
      <c r="B197" s="78"/>
      <c r="C197" s="79"/>
      <c r="D197" s="79"/>
    </row>
    <row r="198" spans="1:4" ht="14.25" thickBot="1" x14ac:dyDescent="0.25">
      <c r="A198" s="7"/>
      <c r="B198" s="7"/>
      <c r="C198" s="15"/>
      <c r="D198" s="15"/>
    </row>
    <row r="199" spans="1:4" ht="14.25" thickBot="1" x14ac:dyDescent="0.25">
      <c r="A199" s="75" t="s">
        <v>22</v>
      </c>
      <c r="B199" s="75">
        <f>SUM(B184:B198)</f>
        <v>0</v>
      </c>
      <c r="C199" s="104" t="s">
        <v>73</v>
      </c>
      <c r="D199" s="76"/>
    </row>
    <row r="200" spans="1:4" ht="15" thickBot="1" x14ac:dyDescent="0.35">
      <c r="A200" s="77"/>
      <c r="B200" s="77"/>
      <c r="C200" s="77"/>
      <c r="D200" s="77"/>
    </row>
    <row r="201" spans="1:4" ht="18.75" thickBot="1" x14ac:dyDescent="0.25">
      <c r="A201" s="70" t="s">
        <v>14</v>
      </c>
      <c r="B201" s="71">
        <v>15</v>
      </c>
      <c r="C201" s="72" t="s">
        <v>23</v>
      </c>
      <c r="D201" s="81">
        <v>42843</v>
      </c>
    </row>
    <row r="202" spans="1:4" ht="27.75" thickBot="1" x14ac:dyDescent="0.25">
      <c r="A202" s="73" t="s">
        <v>3</v>
      </c>
      <c r="B202" s="74" t="s">
        <v>15</v>
      </c>
      <c r="C202" s="73" t="s">
        <v>7</v>
      </c>
      <c r="D202" s="73" t="s">
        <v>13</v>
      </c>
    </row>
    <row r="203" spans="1:4" ht="13.5" x14ac:dyDescent="0.2">
      <c r="A203" s="9"/>
      <c r="B203" s="8"/>
      <c r="C203" s="13"/>
      <c r="D203" s="13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5"/>
      <c r="B206" s="6"/>
      <c r="C206" s="14"/>
      <c r="D206" s="14"/>
    </row>
    <row r="207" spans="1:4" ht="13.5" x14ac:dyDescent="0.2">
      <c r="A207" s="5"/>
      <c r="B207" s="6"/>
      <c r="C207" s="14"/>
      <c r="D207" s="14"/>
    </row>
    <row r="208" spans="1:4" ht="13.5" x14ac:dyDescent="0.2">
      <c r="A208" s="5"/>
      <c r="B208" s="6"/>
      <c r="C208" s="14"/>
      <c r="D208" s="14"/>
    </row>
    <row r="209" spans="1:4" ht="13.5" x14ac:dyDescent="0.2">
      <c r="A209" s="5"/>
      <c r="B209" s="6"/>
      <c r="C209" s="14"/>
      <c r="D209" s="14"/>
    </row>
    <row r="210" spans="1:4" ht="13.5" x14ac:dyDescent="0.2">
      <c r="A210" s="5"/>
      <c r="B210" s="6"/>
      <c r="C210" s="14"/>
      <c r="D210" s="14"/>
    </row>
    <row r="211" spans="1:4" ht="13.5" x14ac:dyDescent="0.2">
      <c r="A211" s="5"/>
      <c r="B211" s="6"/>
      <c r="C211" s="14"/>
      <c r="D211" s="14"/>
    </row>
    <row r="212" spans="1:4" ht="13.5" x14ac:dyDescent="0.2">
      <c r="A212" s="6"/>
      <c r="B212" s="6"/>
      <c r="C212" s="14"/>
      <c r="D212" s="14"/>
    </row>
    <row r="213" spans="1:4" ht="13.5" x14ac:dyDescent="0.2">
      <c r="A213" s="6"/>
      <c r="B213" s="6"/>
      <c r="C213" s="14"/>
      <c r="D213" s="14"/>
    </row>
    <row r="214" spans="1:4" ht="13.5" x14ac:dyDescent="0.2">
      <c r="A214" s="6"/>
      <c r="B214" s="6"/>
      <c r="C214" s="14"/>
      <c r="D214" s="14"/>
    </row>
    <row r="215" spans="1:4" ht="13.5" x14ac:dyDescent="0.2">
      <c r="A215" s="78"/>
      <c r="B215" s="78"/>
      <c r="C215" s="79"/>
      <c r="D215" s="79"/>
    </row>
    <row r="216" spans="1:4" ht="13.5" x14ac:dyDescent="0.2">
      <c r="A216" s="78"/>
      <c r="B216" s="78"/>
      <c r="C216" s="79"/>
      <c r="D216" s="79"/>
    </row>
    <row r="217" spans="1:4" ht="14.25" thickBot="1" x14ac:dyDescent="0.25">
      <c r="A217" s="7"/>
      <c r="B217" s="7"/>
      <c r="C217" s="15"/>
      <c r="D217" s="15"/>
    </row>
    <row r="218" spans="1:4" ht="14.25" thickBot="1" x14ac:dyDescent="0.25">
      <c r="A218" s="75" t="s">
        <v>22</v>
      </c>
      <c r="B218" s="75">
        <f>SUM(B203:B217)</f>
        <v>0</v>
      </c>
      <c r="C218" s="104" t="s">
        <v>73</v>
      </c>
      <c r="D218" s="76"/>
    </row>
    <row r="219" spans="1:4" ht="14.25" x14ac:dyDescent="0.3">
      <c r="A219" s="77"/>
      <c r="B219" s="77"/>
      <c r="C219" s="77"/>
      <c r="D219" s="77"/>
    </row>
    <row r="220" spans="1:4" x14ac:dyDescent="0.2">
      <c r="A220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203:B217 B32:B46 B51:B65 B70:B84 B89:B103 B108:B122 B127:B141 B146:B160 B165:B179 B184:B198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47 B66 B85 B104 B123 B142 B161 B180 B199 B218">
      <formula1>0</formula1>
      <formula2>NbPerWeek * NbQuartPer</formula2>
    </dataValidation>
    <dataValidation type="list" allowBlank="1" showInputMessage="1" showErrorMessage="1" sqref="A3:A5 A10 A15 A20 A203:A217 A32:A46 A51:A65 A70:A84 A89:A103 A108:A122 A127:A141 A146:A160 A165:A179 A184:A198 A25:A27">
      <formula1>lstTasks</formula1>
    </dataValidation>
  </dataValidations>
  <hyperlinks>
    <hyperlink ref="D3" r:id="rId1" display="PDF"/>
    <hyperlink ref="D33" r:id="rId2"/>
    <hyperlink ref="D34" r:id="rId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4"/>
  <headerFooter>
    <oddHeader>&amp;L&amp;"ETML L,Normal"&amp;24ETML</oddHeader>
    <oddFooter>&amp;C&amp;F&amp;L&amp;D</oddFooter>
  </headerFooter>
  <drawing r:id="rId5"/>
  <legacyDrawing r:id="rId6"/>
  <controls>
    <mc:AlternateContent xmlns:mc="http://schemas.openxmlformats.org/markup-compatibility/2006">
      <mc:Choice Requires="x14">
        <control shapeId="54273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2017-02-28T12:27:46Z</dcterms:modified>
  <cp:contentStatus>Version 8.0</cp:contentStatus>
</cp:coreProperties>
</file>