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\040-P_Web2\Git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7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Diagramme!$A$1:$MZ$41</definedName>
    <definedName name="_xlnm.Print_Area" localSheetId="0">Donnees!$A$1:$G$54</definedName>
    <definedName name="_xlnm.Print_Area" localSheetId="7">JNLTRAV!$A$1:$D$185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70" l="1"/>
  <c r="B35" i="170"/>
  <c r="B33" i="170"/>
  <c r="B31" i="170"/>
  <c r="B29" i="170"/>
  <c r="B27" i="170"/>
  <c r="B25" i="170"/>
  <c r="B23" i="170"/>
  <c r="B21" i="170"/>
  <c r="B19" i="170"/>
  <c r="B17" i="170"/>
  <c r="B15" i="170"/>
  <c r="B13" i="170"/>
  <c r="B11" i="170"/>
  <c r="B9" i="170"/>
  <c r="B7" i="170"/>
  <c r="B5" i="170"/>
  <c r="C40" i="170"/>
  <c r="C39" i="170"/>
  <c r="B184" i="168" l="1"/>
  <c r="B165" i="168"/>
  <c r="B146" i="168"/>
  <c r="B127" i="168"/>
  <c r="B108" i="168"/>
  <c r="B89" i="168"/>
  <c r="B70" i="168"/>
  <c r="B51" i="168"/>
  <c r="B44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<sst xmlns="http://schemas.openxmlformats.org/spreadsheetml/2006/main" count="423" uniqueCount="110">
  <si>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</si>
  <si>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</si>
  <si>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</si>
  <si>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</si>
  <si>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</si>
  <si>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</si>
  <si>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</si>
  <si>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</si>
  <si>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</si>
  <si>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</si>
  <si>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</si>
  <si>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</si>
  <si>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</si>
  <si>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</si>
  <si>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</si>
  <si>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</si>
  <si>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</si>
  <si>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</si>
  <si>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</si>
  <si>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</si>
  <si>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</si>
  <si>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</si>
  <si>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</si>
  <si>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</si>
  <si>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</si>
  <si>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</si>
  <si>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</si>
  <si>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</si>
  <si>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</si>
  <si>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</si>
  <si>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</si>
  <si>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</si>
  <si>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</si>
  <si>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</si>
  <si>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</si>
  <si>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</si>
  <si>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</si>
  <si>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</si>
  <si>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</si>
  <si>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</si>
  <si>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</si>
  <si>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</si>
  <si>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</si>
  <si>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</si>
  <si>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</si>
  <si>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</si>
  <si>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</si>
  <si>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</si>
  <si>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</si>
  <si>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</si>
  <si>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</si>
  <si>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</si>
  <si>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</si>
  <si>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</si>
  <si>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</si>
  <si>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</si>
  <si>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</si>
  <si>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</si>
  <si>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</si>
  <si>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</si>
  <si>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</si>
  <si>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</si>
  <si>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</si>
  <si>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</si>
  <si>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</si>
  <si>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</si>
  <si>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</si>
  <si>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</si>
  <si>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</si>
  <si>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</si>
  <si>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</si>
  <si>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</si>
  <si>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</si>
  <si>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</si>
  <si>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</si>
  <si>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</si>
  <si>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</si>
  <si>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</si>
  <si>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</si>
  <si>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</si>
  <si>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</si>
  <si>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</si>
  <si>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</si>
  <si>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</si>
  <si>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</si>
  <si>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</si>
  <si>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</si>
  <si>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</si>
  <si>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</si>
  <si>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</si>
  <si>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</si>
  <si>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Groupe : Vacances \o/</t>
  </si>
  <si>
    <t>Site : Maquette (PHP)</t>
  </si>
  <si>
    <t>Clément : Réalisation de la page before.php</t>
  </si>
  <si>
    <t>..\Site\src\php\before.php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</si>
  <si>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</si>
  <si>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</si>
  <si>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</si>
  <si>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..\Site\src\php\after.php</t>
  </si>
  <si>
    <t>Yann : Réalisation de la page de login, accessible depuis le bouton Connexion, et qui redirige vers la page précédente une fois connecté</t>
  </si>
  <si>
    <t>Clément : TODO</t>
  </si>
  <si>
    <t>TODO : Peut-être virrer la page 401 et faire rediriger vers la page de login?</t>
  </si>
  <si>
    <t>TODO : Système de gestion des livres pour des admins</t>
  </si>
  <si>
    <t>TODO : Yann</t>
  </si>
  <si>
    <t>Yann : Correction d'un bug avec le titre de la page
Yann : Ajout du popup de connection / déconnexion
Yann : Changé le $_SESSION["isConnected"] en "userID", contenant directement l'ID de l'user, et réglé à null si l'utilisateur n'est pas connecté</t>
  </si>
  <si>
    <t>Yann : Création du système de login, pour le moment relié à un document texte
Yann : Ajout de la page de déconnexion</t>
  </si>
  <si>
    <t>Yann : Commencé le formulaire d'ajout de livre</t>
  </si>
  <si>
    <t>..\Site\src\php\AddBook.php</t>
  </si>
  <si>
    <t>..\Site\src\php\login.php
..\Site\src\php\logout.php</t>
  </si>
  <si>
    <t>Clément : Absent, journée d'information militaire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</si>
</sst>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Site\src\php\AddBook.php" TargetMode="External"/><Relationship Id="rId13" Type="http://schemas.openxmlformats.org/officeDocument/2006/relationships/control" Target="../activeX/activeX7.xml"/><Relationship Id="rId3" Type="http://schemas.openxmlformats.org/officeDocument/2006/relationships/hyperlink" Target="http://inf-n102-m603:8080/eds-modules/phpmyadmin4551x160823145809/" TargetMode="External"/><Relationship Id="rId7" Type="http://schemas.openxmlformats.org/officeDocument/2006/relationships/hyperlink" Target="..\Site\src\php\after.php" TargetMode="External"/><Relationship Id="rId12" Type="http://schemas.openxmlformats.org/officeDocument/2006/relationships/vmlDrawing" Target="../drawings/vmlDrawing5.vml"/><Relationship Id="rId2" Type="http://schemas.openxmlformats.org/officeDocument/2006/relationships/hyperlink" Target="http://www.w3schools.com/bootstrap/default.asp" TargetMode="External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drawing" Target="../drawings/drawing5.xml"/><Relationship Id="rId5" Type="http://schemas.openxmlformats.org/officeDocument/2006/relationships/hyperlink" Target="..\Site\src\php\before.php" TargetMode="External"/><Relationship Id="rId10" Type="http://schemas.openxmlformats.org/officeDocument/2006/relationships/printerSettings" Target="../printerSettings/printerSettings5.bin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hyperlink" Target="..\Site\src\php\before.php" TargetMode="External"/><Relationship Id="rId1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28" sqref="C2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92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52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71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72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0"/>
  <sheetViews>
    <sheetView view="pageBreakPreview" topLeftCell="AY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3" t="s">
        <v>30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5"/>
      <c r="AB2" s="123" t="s">
        <v>31</v>
      </c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5"/>
      <c r="AZ2" s="123" t="s">
        <v>32</v>
      </c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5"/>
      <c r="BX2" s="123" t="s">
        <v>33</v>
      </c>
      <c r="BY2" s="124"/>
      <c r="BZ2" s="124"/>
      <c r="CA2" s="124"/>
      <c r="CB2" s="124"/>
      <c r="CC2" s="124"/>
      <c r="CD2" s="124"/>
      <c r="CE2" s="124"/>
      <c r="CF2" s="124"/>
      <c r="CG2" s="124"/>
      <c r="CH2" s="124"/>
      <c r="CI2" s="124"/>
      <c r="CJ2" s="124"/>
      <c r="CK2" s="124"/>
      <c r="CL2" s="124"/>
      <c r="CM2" s="124"/>
      <c r="CN2" s="124"/>
      <c r="CO2" s="124"/>
      <c r="CP2" s="124"/>
      <c r="CQ2" s="124"/>
      <c r="CR2" s="124"/>
      <c r="CS2" s="124"/>
      <c r="CT2" s="124"/>
      <c r="CU2" s="125"/>
      <c r="CV2" s="123" t="s">
        <v>34</v>
      </c>
      <c r="CW2" s="124"/>
      <c r="CX2" s="124"/>
      <c r="CY2" s="124"/>
      <c r="CZ2" s="124"/>
      <c r="DA2" s="124"/>
      <c r="DB2" s="124"/>
      <c r="DC2" s="124"/>
      <c r="DD2" s="124"/>
      <c r="DE2" s="124"/>
      <c r="DF2" s="124"/>
      <c r="DG2" s="124"/>
      <c r="DH2" s="124"/>
      <c r="DI2" s="124"/>
      <c r="DJ2" s="124"/>
      <c r="DK2" s="124"/>
      <c r="DL2" s="124"/>
      <c r="DM2" s="124"/>
      <c r="DN2" s="124"/>
      <c r="DO2" s="124"/>
      <c r="DP2" s="124"/>
      <c r="DQ2" s="124"/>
      <c r="DR2" s="124"/>
      <c r="DS2" s="125"/>
      <c r="DT2" s="123" t="s">
        <v>35</v>
      </c>
      <c r="DU2" s="124"/>
      <c r="DV2" s="124"/>
      <c r="DW2" s="124"/>
      <c r="DX2" s="124"/>
      <c r="DY2" s="124"/>
      <c r="DZ2" s="124"/>
      <c r="EA2" s="124"/>
      <c r="EB2" s="124"/>
      <c r="EC2" s="124"/>
      <c r="ED2" s="124"/>
      <c r="EE2" s="124"/>
      <c r="EF2" s="124"/>
      <c r="EG2" s="124"/>
      <c r="EH2" s="124"/>
      <c r="EI2" s="124"/>
      <c r="EJ2" s="124"/>
      <c r="EK2" s="124"/>
      <c r="EL2" s="124"/>
      <c r="EM2" s="124"/>
      <c r="EN2" s="124"/>
      <c r="EO2" s="124"/>
      <c r="EP2" s="124"/>
      <c r="EQ2" s="125"/>
      <c r="ER2" s="123" t="s">
        <v>36</v>
      </c>
      <c r="ES2" s="124"/>
      <c r="ET2" s="124"/>
      <c r="EU2" s="124"/>
      <c r="EV2" s="124"/>
      <c r="EW2" s="124"/>
      <c r="EX2" s="124"/>
      <c r="EY2" s="124"/>
      <c r="EZ2" s="124"/>
      <c r="FA2" s="124"/>
      <c r="FB2" s="124"/>
      <c r="FC2" s="124"/>
      <c r="FD2" s="124"/>
      <c r="FE2" s="124"/>
      <c r="FF2" s="124"/>
      <c r="FG2" s="124"/>
      <c r="FH2" s="124"/>
      <c r="FI2" s="124"/>
      <c r="FJ2" s="124"/>
      <c r="FK2" s="124"/>
      <c r="FL2" s="124"/>
      <c r="FM2" s="124"/>
      <c r="FN2" s="124"/>
      <c r="FO2" s="125"/>
      <c r="FP2" s="123" t="s">
        <v>37</v>
      </c>
      <c r="FQ2" s="124"/>
      <c r="FR2" s="124"/>
      <c r="FS2" s="124"/>
      <c r="FT2" s="124"/>
      <c r="FU2" s="124"/>
      <c r="FV2" s="124"/>
      <c r="FW2" s="124"/>
      <c r="FX2" s="124"/>
      <c r="FY2" s="124"/>
      <c r="FZ2" s="124"/>
      <c r="GA2" s="124"/>
      <c r="GB2" s="124"/>
      <c r="GC2" s="124"/>
      <c r="GD2" s="124"/>
      <c r="GE2" s="124"/>
      <c r="GF2" s="124"/>
      <c r="GG2" s="124"/>
      <c r="GH2" s="124"/>
      <c r="GI2" s="124"/>
      <c r="GJ2" s="124"/>
      <c r="GK2" s="124"/>
      <c r="GL2" s="124"/>
      <c r="GM2" s="125"/>
      <c r="GN2" s="123" t="s">
        <v>38</v>
      </c>
      <c r="GO2" s="124"/>
      <c r="GP2" s="124"/>
      <c r="GQ2" s="124"/>
      <c r="GR2" s="124"/>
      <c r="GS2" s="124"/>
      <c r="GT2" s="124"/>
      <c r="GU2" s="124"/>
      <c r="GV2" s="124"/>
      <c r="GW2" s="124"/>
      <c r="GX2" s="124"/>
      <c r="GY2" s="124"/>
      <c r="GZ2" s="124"/>
      <c r="HA2" s="124"/>
      <c r="HB2" s="124"/>
      <c r="HC2" s="124"/>
      <c r="HD2" s="124"/>
      <c r="HE2" s="124"/>
      <c r="HF2" s="124"/>
      <c r="HG2" s="124"/>
      <c r="HH2" s="124"/>
      <c r="HI2" s="124"/>
      <c r="HJ2" s="124"/>
      <c r="HK2" s="125"/>
      <c r="HL2" s="123" t="s">
        <v>39</v>
      </c>
      <c r="HM2" s="124"/>
      <c r="HN2" s="124"/>
      <c r="HO2" s="124"/>
      <c r="HP2" s="124"/>
      <c r="HQ2" s="124"/>
      <c r="HR2" s="124"/>
      <c r="HS2" s="124"/>
      <c r="HT2" s="124"/>
      <c r="HU2" s="124"/>
      <c r="HV2" s="124"/>
      <c r="HW2" s="124"/>
      <c r="HX2" s="124"/>
      <c r="HY2" s="124"/>
      <c r="HZ2" s="124"/>
      <c r="IA2" s="124"/>
      <c r="IB2" s="124"/>
      <c r="IC2" s="124"/>
      <c r="ID2" s="124"/>
      <c r="IE2" s="124"/>
      <c r="IF2" s="124"/>
      <c r="IG2" s="124"/>
      <c r="IH2" s="124"/>
      <c r="II2" s="125"/>
      <c r="IJ2" s="123" t="s">
        <v>40</v>
      </c>
      <c r="IK2" s="124"/>
      <c r="IL2" s="124"/>
      <c r="IM2" s="124"/>
      <c r="IN2" s="124"/>
      <c r="IO2" s="124"/>
      <c r="IP2" s="124"/>
      <c r="IQ2" s="124"/>
      <c r="IR2" s="124"/>
      <c r="IS2" s="124"/>
      <c r="IT2" s="124"/>
      <c r="IU2" s="124"/>
      <c r="IV2" s="124"/>
      <c r="IW2" s="124"/>
      <c r="IX2" s="124"/>
      <c r="IY2" s="124"/>
      <c r="IZ2" s="124"/>
      <c r="JA2" s="124"/>
      <c r="JB2" s="124"/>
      <c r="JC2" s="124"/>
      <c r="JD2" s="124"/>
      <c r="JE2" s="124"/>
      <c r="JF2" s="124"/>
      <c r="JG2" s="125"/>
      <c r="JH2" s="123" t="s">
        <v>41</v>
      </c>
      <c r="JI2" s="124"/>
      <c r="JJ2" s="124"/>
      <c r="JK2" s="124"/>
      <c r="JL2" s="124"/>
      <c r="JM2" s="124"/>
      <c r="JN2" s="124"/>
      <c r="JO2" s="124"/>
      <c r="JP2" s="124"/>
      <c r="JQ2" s="124"/>
      <c r="JR2" s="124"/>
      <c r="JS2" s="124"/>
      <c r="JT2" s="124"/>
      <c r="JU2" s="124"/>
      <c r="JV2" s="124"/>
      <c r="JW2" s="124"/>
      <c r="JX2" s="124"/>
      <c r="JY2" s="124"/>
      <c r="JZ2" s="124"/>
      <c r="KA2" s="124"/>
      <c r="KB2" s="124"/>
      <c r="KC2" s="124"/>
      <c r="KD2" s="124"/>
      <c r="KE2" s="125"/>
      <c r="KF2" s="123" t="s">
        <v>42</v>
      </c>
      <c r="KG2" s="124"/>
      <c r="KH2" s="124"/>
      <c r="KI2" s="124"/>
      <c r="KJ2" s="124"/>
      <c r="KK2" s="124"/>
      <c r="KL2" s="124"/>
      <c r="KM2" s="124"/>
      <c r="KN2" s="124"/>
      <c r="KO2" s="124"/>
      <c r="KP2" s="124"/>
      <c r="KQ2" s="124"/>
      <c r="KR2" s="124"/>
      <c r="KS2" s="124"/>
      <c r="KT2" s="124"/>
      <c r="KU2" s="124"/>
      <c r="KV2" s="124"/>
      <c r="KW2" s="124"/>
      <c r="KX2" s="124"/>
      <c r="KY2" s="124"/>
      <c r="KZ2" s="124"/>
      <c r="LA2" s="124"/>
      <c r="LB2" s="124"/>
      <c r="LC2" s="125"/>
      <c r="LD2" s="123" t="s">
        <v>43</v>
      </c>
      <c r="LE2" s="124"/>
      <c r="LF2" s="124"/>
      <c r="LG2" s="124"/>
      <c r="LH2" s="124"/>
      <c r="LI2" s="124"/>
      <c r="LJ2" s="124"/>
      <c r="LK2" s="124"/>
      <c r="LL2" s="124"/>
      <c r="LM2" s="124"/>
      <c r="LN2" s="124"/>
      <c r="LO2" s="124"/>
      <c r="LP2" s="124"/>
      <c r="LQ2" s="124"/>
      <c r="LR2" s="124"/>
      <c r="LS2" s="124"/>
      <c r="LT2" s="124"/>
      <c r="LU2" s="124"/>
      <c r="LV2" s="124"/>
      <c r="LW2" s="124"/>
      <c r="LX2" s="124"/>
      <c r="LY2" s="124"/>
      <c r="LZ2" s="124"/>
      <c r="MA2" s="125"/>
      <c r="MB2" s="123" t="s">
        <v>44</v>
      </c>
      <c r="MC2" s="124"/>
      <c r="MD2" s="124"/>
      <c r="ME2" s="124"/>
      <c r="MF2" s="124"/>
      <c r="MG2" s="124"/>
      <c r="MH2" s="124"/>
      <c r="MI2" s="124"/>
      <c r="MJ2" s="124"/>
      <c r="MK2" s="124"/>
      <c r="ML2" s="124"/>
      <c r="MM2" s="124"/>
      <c r="MN2" s="124"/>
      <c r="MO2" s="124"/>
      <c r="MP2" s="124"/>
      <c r="MQ2" s="124"/>
      <c r="MR2" s="124"/>
      <c r="MS2" s="124"/>
      <c r="MT2" s="124"/>
      <c r="MU2" s="124"/>
      <c r="MV2" s="124"/>
      <c r="MW2" s="124"/>
      <c r="MX2" s="124"/>
      <c r="MY2" s="125"/>
    </row>
    <row r="3" spans="1:363" ht="19.5" customHeight="1" x14ac:dyDescent="0.2">
      <c r="A3" s="84"/>
      <c r="B3" s="126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7"/>
      <c r="C4" s="44">
        <v>130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114"/>
      <c r="ES4" s="115"/>
      <c r="ET4" s="115"/>
      <c r="EU4" s="115"/>
      <c r="EV4" s="115"/>
      <c r="EW4" s="116"/>
      <c r="EX4" s="117"/>
      <c r="EY4" s="115"/>
      <c r="EZ4" s="115"/>
      <c r="FA4" s="115"/>
      <c r="FB4" s="115"/>
      <c r="FC4" s="116"/>
      <c r="FD4" s="117"/>
      <c r="FE4" s="115"/>
      <c r="FF4" s="115"/>
      <c r="FG4" s="115"/>
      <c r="FH4" s="115"/>
      <c r="FI4" s="116"/>
      <c r="FJ4" s="117"/>
      <c r="FK4" s="115"/>
      <c r="FL4" s="115"/>
      <c r="FM4" s="115"/>
      <c r="FN4" s="115"/>
      <c r="FO4" s="118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114"/>
      <c r="HM4" s="115"/>
      <c r="HN4" s="115"/>
      <c r="HO4" s="115"/>
      <c r="HP4" s="115"/>
      <c r="HQ4" s="116"/>
      <c r="HR4" s="117"/>
      <c r="HS4" s="115"/>
      <c r="HT4" s="115"/>
      <c r="HU4" s="115"/>
      <c r="HV4" s="115"/>
      <c r="HW4" s="116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1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2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1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2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1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2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15"/>
      <c r="EK10" s="116"/>
      <c r="EL10" s="117"/>
      <c r="EM10" s="11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1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2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1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2"/>
      <c r="C14" s="96">
        <v>13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115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1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2"/>
      <c r="C16" s="96">
        <v>2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115"/>
      <c r="EI16" s="115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1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2"/>
      <c r="C18" s="96">
        <v>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115"/>
      <c r="EC18" s="115"/>
      <c r="ED18" s="115"/>
      <c r="EE18" s="116"/>
      <c r="EF18" s="117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1" t="str">
        <f>Donnees!$C$28</f>
        <v>Site : Maquette (PHP)</v>
      </c>
      <c r="C19" s="95">
        <v>24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107"/>
      <c r="BA19" s="108"/>
      <c r="BB19" s="108"/>
      <c r="BC19" s="108"/>
      <c r="BD19" s="108"/>
      <c r="BE19" s="109"/>
      <c r="BF19" s="110"/>
      <c r="BG19" s="108"/>
      <c r="BH19" s="108"/>
      <c r="BI19" s="108"/>
      <c r="BJ19" s="108"/>
      <c r="BK19" s="109"/>
      <c r="BL19" s="110"/>
      <c r="BM19" s="108"/>
      <c r="BN19" s="108"/>
      <c r="BO19" s="108"/>
      <c r="BP19" s="108"/>
      <c r="BQ19" s="109"/>
      <c r="BR19" s="110"/>
      <c r="BS19" s="108"/>
      <c r="BT19" s="108"/>
      <c r="BU19" s="108"/>
      <c r="BV19" s="108"/>
      <c r="BW19" s="111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2"/>
      <c r="C20" s="96">
        <v>40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115"/>
      <c r="EO20" s="115"/>
      <c r="EP20" s="115"/>
      <c r="EQ20" s="118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114"/>
      <c r="FQ20" s="115"/>
      <c r="FR20" s="115"/>
      <c r="FS20" s="115"/>
      <c r="FT20" s="115"/>
      <c r="FU20" s="116"/>
      <c r="FV20" s="117"/>
      <c r="FW20" s="115"/>
      <c r="FX20" s="115"/>
      <c r="FY20" s="115"/>
      <c r="FZ20" s="115"/>
      <c r="GA20" s="116"/>
      <c r="GB20" s="117"/>
      <c r="GC20" s="115"/>
      <c r="GD20" s="115"/>
      <c r="GE20" s="115"/>
      <c r="GF20" s="115"/>
      <c r="GG20" s="116"/>
      <c r="GH20" s="117"/>
      <c r="GI20" s="115"/>
      <c r="GJ20" s="115"/>
      <c r="GK20" s="115"/>
      <c r="GL20" s="115"/>
      <c r="GM20" s="118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117"/>
      <c r="HA20" s="115"/>
      <c r="HB20" s="115"/>
      <c r="HC20" s="115"/>
      <c r="HD20" s="115"/>
      <c r="HE20" s="116"/>
      <c r="HF20" s="117"/>
      <c r="HG20" s="115"/>
      <c r="HH20" s="115"/>
      <c r="HI20" s="115"/>
      <c r="HJ20" s="115"/>
      <c r="HK20" s="118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1" t="str">
        <f>Donnees!$C$29</f>
        <v>Site : Accueil</v>
      </c>
      <c r="C21" s="95">
        <v>12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107"/>
      <c r="BY21" s="108"/>
      <c r="BZ21" s="108"/>
      <c r="CA21" s="108"/>
      <c r="CB21" s="108"/>
      <c r="CC21" s="109"/>
      <c r="CD21" s="110"/>
      <c r="CE21" s="108"/>
      <c r="CF21" s="108"/>
      <c r="CG21" s="108"/>
      <c r="CH21" s="108"/>
      <c r="CI21" s="109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2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1" t="str">
        <f>Donnees!$C$30</f>
        <v>Site : Liste ouvrages</v>
      </c>
      <c r="C23" s="95">
        <v>24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110"/>
      <c r="CK23" s="108"/>
      <c r="CL23" s="108"/>
      <c r="CM23" s="108"/>
      <c r="CN23" s="108"/>
      <c r="CO23" s="109"/>
      <c r="CP23" s="110"/>
      <c r="CQ23" s="108"/>
      <c r="CR23" s="108"/>
      <c r="CS23" s="108"/>
      <c r="CT23" s="108"/>
      <c r="CU23" s="111"/>
      <c r="CV23" s="107"/>
      <c r="CW23" s="108"/>
      <c r="CX23" s="108"/>
      <c r="CY23" s="108"/>
      <c r="CZ23" s="108"/>
      <c r="DA23" s="109"/>
      <c r="DB23" s="110"/>
      <c r="DC23" s="108"/>
      <c r="DD23" s="108"/>
      <c r="DE23" s="108"/>
      <c r="DF23" s="108"/>
      <c r="DG23" s="109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2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1" t="str">
        <f>Donnees!$C$31</f>
        <v>Site : Ajout ouvrage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110"/>
      <c r="DI25" s="108"/>
      <c r="DJ25" s="108"/>
      <c r="DK25" s="108"/>
      <c r="DL25" s="108"/>
      <c r="DM25" s="109"/>
      <c r="DN25" s="110"/>
      <c r="DO25" s="108"/>
      <c r="DP25" s="108"/>
      <c r="DQ25" s="108"/>
      <c r="DR25" s="108"/>
      <c r="DS25" s="111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2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1" t="str">
        <f>Donnees!$C$32</f>
        <v>Site : Appréciation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107"/>
      <c r="DU27" s="108"/>
      <c r="DV27" s="108"/>
      <c r="DW27" s="108"/>
      <c r="DX27" s="108"/>
      <c r="DY27" s="109"/>
      <c r="DZ27" s="110"/>
      <c r="EA27" s="108"/>
      <c r="EB27" s="108"/>
      <c r="EC27" s="108"/>
      <c r="ED27" s="108"/>
      <c r="EE27" s="109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2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1" t="str">
        <f>Donnees!$C$33</f>
        <v>Site : Login / Création de compte</v>
      </c>
      <c r="C29" s="95">
        <v>18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110"/>
      <c r="EG29" s="108"/>
      <c r="EH29" s="108"/>
      <c r="EI29" s="108"/>
      <c r="EJ29" s="108"/>
      <c r="EK29" s="109"/>
      <c r="EL29" s="110"/>
      <c r="EM29" s="108"/>
      <c r="EN29" s="108"/>
      <c r="EO29" s="108"/>
      <c r="EP29" s="108"/>
      <c r="EQ29" s="111"/>
      <c r="ER29" s="107"/>
      <c r="ES29" s="108"/>
      <c r="ET29" s="108"/>
      <c r="EU29" s="108"/>
      <c r="EV29" s="108"/>
      <c r="EW29" s="109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2"/>
      <c r="C30" s="96">
        <v>12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114"/>
      <c r="GO30" s="115"/>
      <c r="GP30" s="115"/>
      <c r="GQ30" s="115"/>
      <c r="GR30" s="115"/>
      <c r="GS30" s="116"/>
      <c r="GT30" s="117"/>
      <c r="GU30" s="115"/>
      <c r="GV30" s="115"/>
      <c r="GW30" s="115"/>
      <c r="GX30" s="115"/>
      <c r="GY30" s="116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1" t="str">
        <f>Donnees!$C$34</f>
        <v>Site : Contact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110"/>
      <c r="EY31" s="108"/>
      <c r="EZ31" s="108"/>
      <c r="FA31" s="108"/>
      <c r="FB31" s="108"/>
      <c r="FC31" s="109"/>
      <c r="FD31" s="110"/>
      <c r="FE31" s="108"/>
      <c r="FF31" s="108"/>
      <c r="FG31" s="108"/>
      <c r="FH31" s="108"/>
      <c r="FI31" s="109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2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1" t="str">
        <f>Donnees!$C$35</f>
        <v>Site : Point écoconception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110"/>
      <c r="FK33" s="108"/>
      <c r="FL33" s="108"/>
      <c r="FM33" s="108"/>
      <c r="FN33" s="108"/>
      <c r="FO33" s="111"/>
      <c r="FP33" s="107"/>
      <c r="FQ33" s="108"/>
      <c r="FR33" s="108"/>
      <c r="FS33" s="108"/>
      <c r="FT33" s="108"/>
      <c r="FU33" s="109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2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1" t="str">
        <f>Donnees!$C$36</f>
        <v>Site : Tests / Finitions</v>
      </c>
      <c r="C35" s="95">
        <v>30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110"/>
      <c r="FW35" s="108"/>
      <c r="FX35" s="108"/>
      <c r="FY35" s="108"/>
      <c r="FZ35" s="108"/>
      <c r="GA35" s="109"/>
      <c r="GB35" s="110"/>
      <c r="GC35" s="108"/>
      <c r="GD35" s="108"/>
      <c r="GE35" s="108"/>
      <c r="GF35" s="108"/>
      <c r="GG35" s="109"/>
      <c r="GH35" s="110"/>
      <c r="GI35" s="108"/>
      <c r="GJ35" s="108"/>
      <c r="GK35" s="108"/>
      <c r="GL35" s="108"/>
      <c r="GM35" s="111"/>
      <c r="GN35" s="107"/>
      <c r="GO35" s="108"/>
      <c r="GP35" s="108"/>
      <c r="GQ35" s="108"/>
      <c r="GR35" s="108"/>
      <c r="GS35" s="109"/>
      <c r="GT35" s="110"/>
      <c r="GU35" s="108"/>
      <c r="GV35" s="108"/>
      <c r="GW35" s="108"/>
      <c r="GX35" s="108"/>
      <c r="GY35" s="109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2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21" t="str">
        <f>Donnees!$C$37</f>
        <v>Autre</v>
      </c>
      <c r="C37" s="95">
        <v>138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108"/>
      <c r="AE37" s="108"/>
      <c r="AF37" s="108"/>
      <c r="AG37" s="109"/>
      <c r="AH37" s="110"/>
      <c r="AI37" s="108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88"/>
      <c r="FW37" s="86"/>
      <c r="FX37" s="86"/>
      <c r="FY37" s="86"/>
      <c r="FZ37" s="86"/>
      <c r="GA37" s="87"/>
      <c r="GB37" s="88"/>
      <c r="GC37" s="86"/>
      <c r="GD37" s="86"/>
      <c r="GE37" s="86"/>
      <c r="GF37" s="86"/>
      <c r="GG37" s="87"/>
      <c r="GH37" s="88"/>
      <c r="GI37" s="86"/>
      <c r="GJ37" s="86"/>
      <c r="GK37" s="86"/>
      <c r="GL37" s="86"/>
      <c r="GM37" s="89"/>
      <c r="GN37" s="85"/>
      <c r="GO37" s="86"/>
      <c r="GP37" s="86"/>
      <c r="GQ37" s="86"/>
      <c r="GR37" s="86"/>
      <c r="GS37" s="87"/>
      <c r="GT37" s="88"/>
      <c r="GU37" s="86"/>
      <c r="GV37" s="86"/>
      <c r="GW37" s="86"/>
      <c r="GX37" s="86"/>
      <c r="GY37" s="87"/>
      <c r="GZ37" s="110"/>
      <c r="HA37" s="108"/>
      <c r="HB37" s="108"/>
      <c r="HC37" s="108"/>
      <c r="HD37" s="108"/>
      <c r="HE37" s="109"/>
      <c r="HF37" s="110"/>
      <c r="HG37" s="108"/>
      <c r="HH37" s="108"/>
      <c r="HI37" s="108"/>
      <c r="HJ37" s="108"/>
      <c r="HK37" s="111"/>
      <c r="HL37" s="107"/>
      <c r="HM37" s="108"/>
      <c r="HN37" s="108"/>
      <c r="HO37" s="108"/>
      <c r="HP37" s="108"/>
      <c r="HQ37" s="109"/>
      <c r="HR37" s="110"/>
      <c r="HS37" s="108"/>
      <c r="HT37" s="108"/>
      <c r="HU37" s="108"/>
      <c r="HV37" s="108"/>
      <c r="HW37" s="109"/>
      <c r="HX37" s="110"/>
      <c r="HY37" s="108"/>
      <c r="HZ37" s="108"/>
      <c r="IA37" s="108"/>
      <c r="IB37" s="108"/>
      <c r="IC37" s="109"/>
      <c r="ID37" s="110"/>
      <c r="IE37" s="108"/>
      <c r="IF37" s="108"/>
      <c r="IG37" s="108"/>
      <c r="IH37" s="108"/>
      <c r="II37" s="111"/>
      <c r="IJ37" s="107"/>
      <c r="IK37" s="108"/>
      <c r="IL37" s="108"/>
      <c r="IM37" s="108"/>
      <c r="IN37" s="108"/>
      <c r="IO37" s="109"/>
      <c r="IP37" s="110"/>
      <c r="IQ37" s="108"/>
      <c r="IR37" s="108"/>
      <c r="IS37" s="108"/>
      <c r="IT37" s="108"/>
      <c r="IU37" s="109"/>
      <c r="IV37" s="110"/>
      <c r="IW37" s="108"/>
      <c r="IX37" s="108"/>
      <c r="IY37" s="108"/>
      <c r="IZ37" s="108"/>
      <c r="JA37" s="109"/>
      <c r="JB37" s="110"/>
      <c r="JC37" s="108"/>
      <c r="JD37" s="108"/>
      <c r="JE37" s="108"/>
      <c r="JF37" s="108"/>
      <c r="JG37" s="111"/>
      <c r="JH37" s="107"/>
      <c r="JI37" s="108"/>
      <c r="JJ37" s="108"/>
      <c r="JK37" s="108"/>
      <c r="JL37" s="108"/>
      <c r="JM37" s="109"/>
      <c r="JN37" s="110"/>
      <c r="JO37" s="108"/>
      <c r="JP37" s="108"/>
      <c r="JQ37" s="108"/>
      <c r="JR37" s="108"/>
      <c r="JS37" s="109"/>
      <c r="JT37" s="110"/>
      <c r="JU37" s="108"/>
      <c r="JV37" s="108"/>
      <c r="JW37" s="108"/>
      <c r="JX37" s="108"/>
      <c r="JY37" s="109"/>
      <c r="JZ37" s="110"/>
      <c r="KA37" s="108"/>
      <c r="KB37" s="108"/>
      <c r="KC37" s="108"/>
      <c r="KD37" s="108"/>
      <c r="KE37" s="111"/>
      <c r="KF37" s="107"/>
      <c r="KG37" s="108"/>
      <c r="KH37" s="108"/>
      <c r="KI37" s="108"/>
      <c r="KJ37" s="108"/>
      <c r="KK37" s="109"/>
      <c r="KL37" s="110"/>
      <c r="KM37" s="108"/>
      <c r="KN37" s="108"/>
      <c r="KO37" s="108"/>
      <c r="KP37" s="108"/>
      <c r="KQ37" s="109"/>
      <c r="KR37" s="110"/>
      <c r="KS37" s="108"/>
      <c r="KT37" s="108"/>
      <c r="KU37" s="108"/>
      <c r="KV37" s="108"/>
      <c r="KW37" s="109"/>
      <c r="KX37" s="110"/>
      <c r="KY37" s="108"/>
      <c r="KZ37" s="108"/>
      <c r="LA37" s="108"/>
      <c r="LB37" s="108"/>
      <c r="LC37" s="111"/>
      <c r="LD37" s="107"/>
      <c r="LE37" s="108"/>
      <c r="LF37" s="108"/>
      <c r="LG37" s="108"/>
      <c r="LH37" s="108"/>
      <c r="LI37" s="109"/>
      <c r="LJ37" s="110"/>
      <c r="LK37" s="108"/>
      <c r="LL37" s="108"/>
      <c r="LM37" s="108"/>
      <c r="LN37" s="108"/>
      <c r="LO37" s="109"/>
      <c r="LP37" s="110"/>
      <c r="LQ37" s="108"/>
      <c r="LR37" s="108"/>
      <c r="LS37" s="108"/>
      <c r="LT37" s="108"/>
      <c r="LU37" s="109"/>
      <c r="LV37" s="110"/>
      <c r="LW37" s="108"/>
      <c r="LX37" s="108"/>
      <c r="LY37" s="108"/>
      <c r="LZ37" s="108"/>
      <c r="MA37" s="111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x14ac:dyDescent="0.2">
      <c r="B38" s="122"/>
      <c r="C38" s="96">
        <v>6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115"/>
      <c r="DW38" s="115"/>
      <c r="DX38" s="115"/>
      <c r="DY38" s="116"/>
      <c r="DZ38" s="117"/>
      <c r="EA38" s="115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92"/>
      <c r="GH38" s="93"/>
      <c r="GI38" s="91"/>
      <c r="GJ38" s="91"/>
      <c r="GK38" s="91"/>
      <c r="GL38" s="91"/>
      <c r="GM38" s="94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92"/>
      <c r="HF38" s="93"/>
      <c r="HG38" s="91"/>
      <c r="HH38" s="91"/>
      <c r="HI38" s="91"/>
      <c r="HJ38" s="91"/>
      <c r="HK38" s="94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92"/>
      <c r="LP38" s="93"/>
      <c r="LQ38" s="91"/>
      <c r="LR38" s="91"/>
      <c r="LS38" s="91"/>
      <c r="LT38" s="91"/>
      <c r="LU38" s="92"/>
      <c r="LV38" s="93"/>
      <c r="LW38" s="91"/>
      <c r="LX38" s="91"/>
      <c r="LY38" s="91"/>
      <c r="LZ38" s="91"/>
      <c r="MA38" s="94"/>
      <c r="MB38" s="90"/>
      <c r="MC38" s="91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47" t="s">
        <v>16</v>
      </c>
      <c r="C39" s="49">
        <f>SUM($C$3,$C$5,$C$7,$C$9,$C$11,$C$13,$C$15,$C$17,$C$19,$C$21,$C$23,$C$25,$C$27,$C$29,$C$31,$C$33,$C$35,$C$37)</f>
        <v>360</v>
      </c>
      <c r="D39" s="97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9"/>
      <c r="AB39" s="97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9"/>
      <c r="AZ39" s="97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9"/>
      <c r="BX39" s="97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9"/>
      <c r="CV39" s="97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9"/>
      <c r="DT39" s="97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8"/>
      <c r="EN39" s="98"/>
      <c r="EO39" s="98"/>
      <c r="EP39" s="98"/>
      <c r="EQ39" s="99"/>
      <c r="ER39" s="97"/>
      <c r="ES39" s="98"/>
      <c r="ET39" s="98"/>
      <c r="EU39" s="98"/>
      <c r="EV39" s="98"/>
      <c r="EW39" s="98"/>
      <c r="EX39" s="98"/>
      <c r="EY39" s="98"/>
      <c r="EZ39" s="98"/>
      <c r="FA39" s="98"/>
      <c r="FB39" s="98"/>
      <c r="FC39" s="98"/>
      <c r="FD39" s="9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9"/>
      <c r="FP39" s="97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98"/>
      <c r="GG39" s="98"/>
      <c r="GH39" s="98"/>
      <c r="GI39" s="98"/>
      <c r="GJ39" s="98"/>
      <c r="GK39" s="98"/>
      <c r="GL39" s="98"/>
      <c r="GM39" s="99"/>
      <c r="GN39" s="97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9"/>
      <c r="HL39" s="97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9"/>
      <c r="IJ39" s="97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9"/>
      <c r="JH39" s="97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9"/>
      <c r="KF39" s="97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9"/>
      <c r="LD39" s="97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9"/>
      <c r="MB39" s="97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9"/>
    </row>
    <row r="40" spans="2:363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228</v>
      </c>
      <c r="D40" s="100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2"/>
      <c r="AB40" s="10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2"/>
      <c r="AZ40" s="100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2"/>
      <c r="BX40" s="100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2"/>
      <c r="CV40" s="100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2"/>
      <c r="DT40" s="100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2"/>
      <c r="ER40" s="100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2"/>
      <c r="FP40" s="100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2"/>
      <c r="GN40" s="100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2"/>
      <c r="HL40" s="100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2"/>
      <c r="IJ40" s="100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2"/>
      <c r="JH40" s="100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2"/>
      <c r="KF40" s="100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2"/>
      <c r="LD40" s="100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2"/>
      <c r="MB40" s="100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2"/>
    </row>
  </sheetData>
  <sheetProtection sheet="1" objects="1" scenarios="1" insertRows="0" selectLockedCells="1"/>
  <mergeCells count="33">
    <mergeCell ref="KF2:LC2"/>
    <mergeCell ref="LD2:MA2"/>
    <mergeCell ref="MB2:MY2"/>
    <mergeCell ref="ER2:FO2"/>
    <mergeCell ref="FP2:GM2"/>
    <mergeCell ref="GN2:HK2"/>
    <mergeCell ref="HL2:II2"/>
    <mergeCell ref="IJ2:JG2"/>
    <mergeCell ref="JH2:KE2"/>
    <mergeCell ref="DT2:EQ2"/>
    <mergeCell ref="B27:B28"/>
    <mergeCell ref="B29:B30"/>
    <mergeCell ref="B31:B32"/>
    <mergeCell ref="B33:B34"/>
    <mergeCell ref="B3:B4"/>
    <mergeCell ref="B5:B6"/>
    <mergeCell ref="B7:B8"/>
    <mergeCell ref="B9:B10"/>
    <mergeCell ref="B11:B12"/>
    <mergeCell ref="B13:B14"/>
    <mergeCell ref="D2:AA2"/>
    <mergeCell ref="AB2:AY2"/>
    <mergeCell ref="AZ2:BW2"/>
    <mergeCell ref="BX2:CU2"/>
    <mergeCell ref="CV2:DS2"/>
    <mergeCell ref="B35:B36"/>
    <mergeCell ref="B37:B38"/>
    <mergeCell ref="B15:B16"/>
    <mergeCell ref="B17:B18"/>
    <mergeCell ref="B19:B20"/>
    <mergeCell ref="B21:B22"/>
    <mergeCell ref="B23:B24"/>
    <mergeCell ref="B25:B26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92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86"/>
  <sheetViews>
    <sheetView tabSelected="1" view="pageBreakPreview" topLeftCell="A67" zoomScale="115" zoomScaleNormal="100" zoomScaleSheetLayoutView="115" workbookViewId="0">
      <selection activeCell="C74" sqref="C7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92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42787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4.25" thickBot="1" x14ac:dyDescent="0.25">
      <c r="A43" s="9" t="s">
        <v>21</v>
      </c>
      <c r="B43" s="8">
        <v>24</v>
      </c>
      <c r="C43" s="13" t="s">
        <v>91</v>
      </c>
      <c r="D43" s="13"/>
    </row>
    <row r="44" spans="1:4" ht="14.25" thickBot="1" x14ac:dyDescent="0.25">
      <c r="A44" s="75" t="s">
        <v>22</v>
      </c>
      <c r="B44" s="75">
        <f>SUM(B43:B43)</f>
        <v>24</v>
      </c>
      <c r="C44" s="104" t="s">
        <v>73</v>
      </c>
      <c r="D44" s="76"/>
    </row>
    <row r="45" spans="1:4" ht="15" thickBot="1" x14ac:dyDescent="0.35">
      <c r="A45" s="77"/>
      <c r="B45" s="77"/>
      <c r="C45" s="77"/>
      <c r="D45" s="77"/>
    </row>
    <row r="46" spans="1:4" ht="18.75" thickBot="1" x14ac:dyDescent="0.25">
      <c r="A46" s="70" t="s">
        <v>14</v>
      </c>
      <c r="B46" s="71">
        <v>8</v>
      </c>
      <c r="C46" s="72" t="s">
        <v>23</v>
      </c>
      <c r="D46" s="81">
        <v>42794</v>
      </c>
    </row>
    <row r="47" spans="1:4" ht="27.75" thickBot="1" x14ac:dyDescent="0.25">
      <c r="A47" s="73" t="s">
        <v>3</v>
      </c>
      <c r="B47" s="74" t="s">
        <v>15</v>
      </c>
      <c r="C47" s="73" t="s">
        <v>7</v>
      </c>
      <c r="D47" s="73" t="s">
        <v>13</v>
      </c>
    </row>
    <row r="48" spans="1:4" ht="13.5" x14ac:dyDescent="0.2">
      <c r="A48" s="9" t="s">
        <v>92</v>
      </c>
      <c r="B48" s="8">
        <v>12</v>
      </c>
      <c r="C48" s="13" t="s">
        <v>93</v>
      </c>
      <c r="D48" s="112" t="s">
        <v>94</v>
      </c>
    </row>
    <row r="49" spans="1:4" ht="27" x14ac:dyDescent="0.2">
      <c r="A49" s="5" t="s">
        <v>92</v>
      </c>
      <c r="B49" s="6">
        <v>8</v>
      </c>
      <c r="C49" s="14" t="s">
        <v>95</v>
      </c>
      <c r="D49" s="113" t="s">
        <v>96</v>
      </c>
    </row>
    <row r="50" spans="1:4" ht="14.25" thickBot="1" x14ac:dyDescent="0.25">
      <c r="A50" s="5" t="s">
        <v>92</v>
      </c>
      <c r="B50" s="6">
        <v>4</v>
      </c>
      <c r="C50" s="14" t="s">
        <v>97</v>
      </c>
      <c r="D50" s="113" t="s">
        <v>98</v>
      </c>
    </row>
    <row r="51" spans="1:4" ht="14.25" thickBot="1" x14ac:dyDescent="0.25">
      <c r="A51" s="75" t="s">
        <v>22</v>
      </c>
      <c r="B51" s="75">
        <f>SUM(B48:B50)</f>
        <v>24</v>
      </c>
      <c r="C51" s="104" t="s">
        <v>73</v>
      </c>
      <c r="D51" s="76"/>
    </row>
    <row r="52" spans="1:4" ht="15" thickBot="1" x14ac:dyDescent="0.35">
      <c r="A52" s="77"/>
      <c r="B52" s="77"/>
      <c r="C52" s="77"/>
      <c r="D52" s="77"/>
    </row>
    <row r="53" spans="1:4" ht="18.75" thickBot="1" x14ac:dyDescent="0.25">
      <c r="A53" s="70" t="s">
        <v>14</v>
      </c>
      <c r="B53" s="71">
        <v>9</v>
      </c>
      <c r="C53" s="72" t="s">
        <v>23</v>
      </c>
      <c r="D53" s="81">
        <v>42801</v>
      </c>
    </row>
    <row r="54" spans="1:4" ht="27.75" thickBot="1" x14ac:dyDescent="0.25">
      <c r="A54" s="73" t="s">
        <v>3</v>
      </c>
      <c r="B54" s="74" t="s">
        <v>15</v>
      </c>
      <c r="C54" s="73" t="s">
        <v>7</v>
      </c>
      <c r="D54" s="73" t="s">
        <v>13</v>
      </c>
    </row>
    <row r="55" spans="1:4" ht="27" x14ac:dyDescent="0.2">
      <c r="A55" s="9" t="s">
        <v>55</v>
      </c>
      <c r="B55" s="8">
        <v>12</v>
      </c>
      <c r="C55" s="13" t="s">
        <v>99</v>
      </c>
      <c r="D55" s="13"/>
    </row>
    <row r="56" spans="1:4" ht="13.5" x14ac:dyDescent="0.2">
      <c r="A56" s="5" t="s">
        <v>92</v>
      </c>
      <c r="B56" s="6">
        <v>12</v>
      </c>
      <c r="C56" s="14" t="s">
        <v>100</v>
      </c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6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78"/>
      <c r="B67" s="78"/>
      <c r="C67" s="79"/>
      <c r="D67" s="79"/>
    </row>
    <row r="68" spans="1:4" ht="13.5" x14ac:dyDescent="0.2">
      <c r="A68" s="78"/>
      <c r="B68" s="78"/>
      <c r="C68" s="79"/>
      <c r="D68" s="79"/>
    </row>
    <row r="69" spans="1:4" ht="14.25" thickBot="1" x14ac:dyDescent="0.25">
      <c r="A69" s="7"/>
      <c r="B69" s="7"/>
      <c r="C69" s="15"/>
      <c r="D69" s="15"/>
    </row>
    <row r="70" spans="1:4" ht="14.25" thickBot="1" x14ac:dyDescent="0.25">
      <c r="A70" s="75" t="s">
        <v>22</v>
      </c>
      <c r="B70" s="75">
        <f>SUM(B55:B69)</f>
        <v>24</v>
      </c>
      <c r="C70" s="104" t="s">
        <v>73</v>
      </c>
      <c r="D70" s="76"/>
    </row>
    <row r="71" spans="1:4" ht="15" thickBot="1" x14ac:dyDescent="0.35">
      <c r="A71" s="77"/>
      <c r="B71" s="77"/>
      <c r="C71" s="77"/>
      <c r="D71" s="77"/>
    </row>
    <row r="72" spans="1:4" ht="18.75" thickBot="1" x14ac:dyDescent="0.25">
      <c r="A72" s="70" t="s">
        <v>14</v>
      </c>
      <c r="B72" s="71">
        <v>10</v>
      </c>
      <c r="C72" s="72" t="s">
        <v>23</v>
      </c>
      <c r="D72" s="81">
        <v>42808</v>
      </c>
    </row>
    <row r="73" spans="1:4" ht="27.75" thickBot="1" x14ac:dyDescent="0.25">
      <c r="A73" s="73" t="s">
        <v>3</v>
      </c>
      <c r="B73" s="74" t="s">
        <v>15</v>
      </c>
      <c r="C73" s="73" t="s">
        <v>7</v>
      </c>
      <c r="D73" s="73" t="s">
        <v>13</v>
      </c>
    </row>
    <row r="74" spans="1:4" ht="13.5" x14ac:dyDescent="0.2">
      <c r="A74" s="9" t="s">
        <v>21</v>
      </c>
      <c r="B74" s="8">
        <v>12</v>
      </c>
      <c r="C74" s="13" t="s">
        <v>109</v>
      </c>
      <c r="D74" s="13"/>
    </row>
    <row r="75" spans="1:4" ht="54" x14ac:dyDescent="0.2">
      <c r="A75" s="5" t="s">
        <v>92</v>
      </c>
      <c r="B75" s="6">
        <v>5</v>
      </c>
      <c r="C75" s="14" t="s">
        <v>104</v>
      </c>
      <c r="D75" s="113" t="s">
        <v>94</v>
      </c>
    </row>
    <row r="76" spans="1:4" ht="27" x14ac:dyDescent="0.2">
      <c r="A76" s="5" t="s">
        <v>55</v>
      </c>
      <c r="B76" s="6">
        <v>5</v>
      </c>
      <c r="C76" s="14" t="s">
        <v>105</v>
      </c>
      <c r="D76" s="14" t="s">
        <v>108</v>
      </c>
    </row>
    <row r="77" spans="1:4" ht="13.5" x14ac:dyDescent="0.2">
      <c r="A77" s="5" t="s">
        <v>53</v>
      </c>
      <c r="B77" s="6">
        <v>2</v>
      </c>
      <c r="C77" s="14" t="s">
        <v>106</v>
      </c>
      <c r="D77" s="113" t="s">
        <v>107</v>
      </c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78"/>
      <c r="B86" s="78"/>
      <c r="C86" s="79"/>
      <c r="D86" s="79"/>
    </row>
    <row r="87" spans="1:4" ht="13.5" x14ac:dyDescent="0.2">
      <c r="A87" s="78"/>
      <c r="B87" s="78"/>
      <c r="C87" s="79"/>
      <c r="D87" s="79"/>
    </row>
    <row r="88" spans="1:4" ht="14.25" thickBot="1" x14ac:dyDescent="0.25">
      <c r="A88" s="7"/>
      <c r="B88" s="7"/>
      <c r="C88" s="15"/>
      <c r="D88" s="15"/>
    </row>
    <row r="89" spans="1:4" ht="14.25" thickBot="1" x14ac:dyDescent="0.25">
      <c r="A89" s="75" t="s">
        <v>22</v>
      </c>
      <c r="B89" s="75">
        <f>SUM(B74:B88)</f>
        <v>24</v>
      </c>
      <c r="C89" s="104" t="s">
        <v>73</v>
      </c>
      <c r="D89" s="76"/>
    </row>
    <row r="90" spans="1:4" ht="15" thickBot="1" x14ac:dyDescent="0.35">
      <c r="A90" s="77"/>
      <c r="B90" s="77"/>
      <c r="C90" s="77"/>
      <c r="D90" s="77"/>
    </row>
    <row r="91" spans="1:4" ht="18.75" thickBot="1" x14ac:dyDescent="0.25">
      <c r="A91" s="70" t="s">
        <v>14</v>
      </c>
      <c r="B91" s="71">
        <v>11</v>
      </c>
      <c r="C91" s="72" t="s">
        <v>23</v>
      </c>
      <c r="D91" s="81">
        <v>42815</v>
      </c>
    </row>
    <row r="92" spans="1:4" ht="27.75" thickBot="1" x14ac:dyDescent="0.25">
      <c r="A92" s="73" t="s">
        <v>3</v>
      </c>
      <c r="B92" s="74" t="s">
        <v>15</v>
      </c>
      <c r="C92" s="73" t="s">
        <v>7</v>
      </c>
      <c r="D92" s="73" t="s">
        <v>13</v>
      </c>
    </row>
    <row r="93" spans="1:4" ht="13.5" x14ac:dyDescent="0.2">
      <c r="A93" s="9" t="s">
        <v>92</v>
      </c>
      <c r="B93" s="8"/>
      <c r="C93" s="13" t="s">
        <v>101</v>
      </c>
      <c r="D93" s="13"/>
    </row>
    <row r="94" spans="1:4" ht="13.5" x14ac:dyDescent="0.2">
      <c r="A94" s="5" t="s">
        <v>53</v>
      </c>
      <c r="B94" s="6"/>
      <c r="C94" s="14" t="s">
        <v>103</v>
      </c>
      <c r="D94" s="14"/>
    </row>
    <row r="95" spans="1:4" ht="13.5" x14ac:dyDescent="0.2">
      <c r="A95" s="5" t="s">
        <v>52</v>
      </c>
      <c r="B95" s="6"/>
      <c r="C95" s="14" t="s">
        <v>102</v>
      </c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78"/>
      <c r="B105" s="78"/>
      <c r="C105" s="79"/>
      <c r="D105" s="79"/>
    </row>
    <row r="106" spans="1:4" ht="13.5" x14ac:dyDescent="0.2">
      <c r="A106" s="78"/>
      <c r="B106" s="78"/>
      <c r="C106" s="79"/>
      <c r="D106" s="79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75" t="s">
        <v>22</v>
      </c>
      <c r="B108" s="75">
        <f>SUM(B93:B107)</f>
        <v>0</v>
      </c>
      <c r="C108" s="104" t="s">
        <v>73</v>
      </c>
      <c r="D108" s="76"/>
    </row>
    <row r="109" spans="1:4" ht="15" thickBot="1" x14ac:dyDescent="0.35">
      <c r="A109" s="77"/>
      <c r="B109" s="77"/>
      <c r="C109" s="77"/>
      <c r="D109" s="77"/>
    </row>
    <row r="110" spans="1:4" ht="18.75" thickBot="1" x14ac:dyDescent="0.25">
      <c r="A110" s="70" t="s">
        <v>14</v>
      </c>
      <c r="B110" s="71">
        <v>12</v>
      </c>
      <c r="C110" s="72" t="s">
        <v>23</v>
      </c>
      <c r="D110" s="81">
        <v>42822</v>
      </c>
    </row>
    <row r="111" spans="1:4" ht="27.75" thickBot="1" x14ac:dyDescent="0.25">
      <c r="A111" s="73" t="s">
        <v>3</v>
      </c>
      <c r="B111" s="74" t="s">
        <v>15</v>
      </c>
      <c r="C111" s="73" t="s">
        <v>7</v>
      </c>
      <c r="D111" s="73" t="s">
        <v>13</v>
      </c>
    </row>
    <row r="112" spans="1:4" ht="13.5" x14ac:dyDescent="0.2">
      <c r="A112" s="9"/>
      <c r="B112" s="8"/>
      <c r="C112" s="13"/>
      <c r="D112" s="13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78"/>
      <c r="B124" s="78"/>
      <c r="C124" s="79"/>
      <c r="D124" s="79"/>
    </row>
    <row r="125" spans="1:4" ht="13.5" x14ac:dyDescent="0.2">
      <c r="A125" s="78"/>
      <c r="B125" s="78"/>
      <c r="C125" s="79"/>
      <c r="D125" s="79"/>
    </row>
    <row r="126" spans="1:4" ht="14.25" thickBot="1" x14ac:dyDescent="0.25">
      <c r="A126" s="7"/>
      <c r="B126" s="7"/>
      <c r="C126" s="15"/>
      <c r="D126" s="15"/>
    </row>
    <row r="127" spans="1:4" ht="14.25" thickBot="1" x14ac:dyDescent="0.25">
      <c r="A127" s="75" t="s">
        <v>22</v>
      </c>
      <c r="B127" s="75">
        <f>SUM(B112:B126)</f>
        <v>0</v>
      </c>
      <c r="C127" s="104" t="s">
        <v>73</v>
      </c>
      <c r="D127" s="76"/>
    </row>
    <row r="128" spans="1:4" ht="15" thickBot="1" x14ac:dyDescent="0.35">
      <c r="A128" s="77"/>
      <c r="B128" s="77"/>
      <c r="C128" s="77"/>
      <c r="D128" s="77"/>
    </row>
    <row r="129" spans="1:4" ht="18.75" thickBot="1" x14ac:dyDescent="0.25">
      <c r="A129" s="70" t="s">
        <v>14</v>
      </c>
      <c r="B129" s="71">
        <v>13</v>
      </c>
      <c r="C129" s="72" t="s">
        <v>23</v>
      </c>
      <c r="D129" s="81">
        <v>42829</v>
      </c>
    </row>
    <row r="130" spans="1:4" ht="27.75" thickBot="1" x14ac:dyDescent="0.25">
      <c r="A130" s="73" t="s">
        <v>3</v>
      </c>
      <c r="B130" s="74" t="s">
        <v>15</v>
      </c>
      <c r="C130" s="73" t="s">
        <v>7</v>
      </c>
      <c r="D130" s="73" t="s">
        <v>13</v>
      </c>
    </row>
    <row r="131" spans="1:4" ht="13.5" x14ac:dyDescent="0.2">
      <c r="A131" s="9"/>
      <c r="B131" s="8"/>
      <c r="C131" s="13"/>
      <c r="D131" s="13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6"/>
      <c r="B140" s="6"/>
      <c r="C140" s="14"/>
      <c r="D140" s="14"/>
    </row>
    <row r="141" spans="1:4" ht="13.5" x14ac:dyDescent="0.2">
      <c r="A141" s="6"/>
      <c r="B141" s="6"/>
      <c r="C141" s="14"/>
      <c r="D141" s="14"/>
    </row>
    <row r="142" spans="1:4" ht="13.5" x14ac:dyDescent="0.2">
      <c r="A142" s="6"/>
      <c r="B142" s="6"/>
      <c r="C142" s="14"/>
      <c r="D142" s="14"/>
    </row>
    <row r="143" spans="1:4" ht="13.5" x14ac:dyDescent="0.2">
      <c r="A143" s="78"/>
      <c r="B143" s="78"/>
      <c r="C143" s="79"/>
      <c r="D143" s="79"/>
    </row>
    <row r="144" spans="1:4" ht="13.5" x14ac:dyDescent="0.2">
      <c r="A144" s="78"/>
      <c r="B144" s="78"/>
      <c r="C144" s="79"/>
      <c r="D144" s="79"/>
    </row>
    <row r="145" spans="1:4" ht="14.25" thickBot="1" x14ac:dyDescent="0.25">
      <c r="A145" s="7"/>
      <c r="B145" s="7"/>
      <c r="C145" s="15"/>
      <c r="D145" s="15"/>
    </row>
    <row r="146" spans="1:4" ht="14.25" thickBot="1" x14ac:dyDescent="0.25">
      <c r="A146" s="75" t="s">
        <v>22</v>
      </c>
      <c r="B146" s="75">
        <f>SUM(B131:B145)</f>
        <v>0</v>
      </c>
      <c r="C146" s="104" t="s">
        <v>73</v>
      </c>
      <c r="D146" s="76"/>
    </row>
    <row r="147" spans="1:4" ht="15" thickBot="1" x14ac:dyDescent="0.35">
      <c r="A147" s="77"/>
      <c r="B147" s="77"/>
      <c r="C147" s="77"/>
      <c r="D147" s="77"/>
    </row>
    <row r="148" spans="1:4" ht="18.75" thickBot="1" x14ac:dyDescent="0.25">
      <c r="A148" s="70" t="s">
        <v>14</v>
      </c>
      <c r="B148" s="71">
        <v>14</v>
      </c>
      <c r="C148" s="72" t="s">
        <v>23</v>
      </c>
      <c r="D148" s="81">
        <v>42836</v>
      </c>
    </row>
    <row r="149" spans="1:4" ht="27.75" thickBot="1" x14ac:dyDescent="0.25">
      <c r="A149" s="73" t="s">
        <v>3</v>
      </c>
      <c r="B149" s="74" t="s">
        <v>15</v>
      </c>
      <c r="C149" s="73" t="s">
        <v>7</v>
      </c>
      <c r="D149" s="73" t="s">
        <v>13</v>
      </c>
    </row>
    <row r="150" spans="1:4" ht="13.5" x14ac:dyDescent="0.2">
      <c r="A150" s="9"/>
      <c r="B150" s="8"/>
      <c r="C150" s="13"/>
      <c r="D150" s="13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6"/>
      <c r="B159" s="6"/>
      <c r="C159" s="14"/>
      <c r="D159" s="14"/>
    </row>
    <row r="160" spans="1:4" ht="13.5" x14ac:dyDescent="0.2">
      <c r="A160" s="6"/>
      <c r="B160" s="6"/>
      <c r="C160" s="14"/>
      <c r="D160" s="14"/>
    </row>
    <row r="161" spans="1:4" ht="13.5" x14ac:dyDescent="0.2">
      <c r="A161" s="6"/>
      <c r="B161" s="6"/>
      <c r="C161" s="14"/>
      <c r="D161" s="14"/>
    </row>
    <row r="162" spans="1:4" ht="13.5" x14ac:dyDescent="0.2">
      <c r="A162" s="78"/>
      <c r="B162" s="78"/>
      <c r="C162" s="79"/>
      <c r="D162" s="79"/>
    </row>
    <row r="163" spans="1:4" ht="13.5" x14ac:dyDescent="0.2">
      <c r="A163" s="78"/>
      <c r="B163" s="78"/>
      <c r="C163" s="79"/>
      <c r="D163" s="79"/>
    </row>
    <row r="164" spans="1:4" ht="14.25" thickBot="1" x14ac:dyDescent="0.25">
      <c r="A164" s="7"/>
      <c r="B164" s="7"/>
      <c r="C164" s="15"/>
      <c r="D164" s="15"/>
    </row>
    <row r="165" spans="1:4" ht="14.25" thickBot="1" x14ac:dyDescent="0.25">
      <c r="A165" s="75" t="s">
        <v>22</v>
      </c>
      <c r="B165" s="75">
        <f>SUM(B150:B164)</f>
        <v>0</v>
      </c>
      <c r="C165" s="104" t="s">
        <v>73</v>
      </c>
      <c r="D165" s="76"/>
    </row>
    <row r="166" spans="1:4" ht="15" thickBot="1" x14ac:dyDescent="0.35">
      <c r="A166" s="77"/>
      <c r="B166" s="77"/>
      <c r="C166" s="77"/>
      <c r="D166" s="77"/>
    </row>
    <row r="167" spans="1:4" ht="18.75" thickBot="1" x14ac:dyDescent="0.25">
      <c r="A167" s="70" t="s">
        <v>14</v>
      </c>
      <c r="B167" s="71">
        <v>15</v>
      </c>
      <c r="C167" s="72" t="s">
        <v>23</v>
      </c>
      <c r="D167" s="81">
        <v>42843</v>
      </c>
    </row>
    <row r="168" spans="1:4" ht="27.75" thickBot="1" x14ac:dyDescent="0.25">
      <c r="A168" s="73" t="s">
        <v>3</v>
      </c>
      <c r="B168" s="74" t="s">
        <v>15</v>
      </c>
      <c r="C168" s="73" t="s">
        <v>7</v>
      </c>
      <c r="D168" s="73" t="s">
        <v>13</v>
      </c>
    </row>
    <row r="169" spans="1:4" ht="13.5" x14ac:dyDescent="0.2">
      <c r="A169" s="9"/>
      <c r="B169" s="8"/>
      <c r="C169" s="13"/>
      <c r="D169" s="13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3.5" x14ac:dyDescent="0.2">
      <c r="A180" s="6"/>
      <c r="B180" s="6"/>
      <c r="C180" s="14"/>
      <c r="D180" s="14"/>
    </row>
    <row r="181" spans="1:4" ht="13.5" x14ac:dyDescent="0.2">
      <c r="A181" s="78"/>
      <c r="B181" s="78"/>
      <c r="C181" s="79"/>
      <c r="D181" s="79"/>
    </row>
    <row r="182" spans="1:4" ht="13.5" x14ac:dyDescent="0.2">
      <c r="A182" s="78"/>
      <c r="B182" s="78"/>
      <c r="C182" s="79"/>
      <c r="D182" s="79"/>
    </row>
    <row r="183" spans="1:4" ht="14.25" thickBot="1" x14ac:dyDescent="0.25">
      <c r="A183" s="7"/>
      <c r="B183" s="7"/>
      <c r="C183" s="15"/>
      <c r="D183" s="15"/>
    </row>
    <row r="184" spans="1:4" ht="14.25" thickBot="1" x14ac:dyDescent="0.25">
      <c r="A184" s="75" t="s">
        <v>22</v>
      </c>
      <c r="B184" s="75">
        <f>SUM(B169:B183)</f>
        <v>0</v>
      </c>
      <c r="C184" s="104" t="s">
        <v>73</v>
      </c>
      <c r="D184" s="76"/>
    </row>
    <row r="185" spans="1:4" ht="14.25" x14ac:dyDescent="0.3">
      <c r="A185" s="77"/>
      <c r="B185" s="77"/>
      <c r="C185" s="77"/>
      <c r="D185" s="77"/>
    </row>
    <row r="186" spans="1:4" x14ac:dyDescent="0.2">
      <c r="A186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169:B183 B32:B38 B43 B48:B50 B55:B69 B74:B88 B93:B107 B112:B126 B131:B145 B150:B164 B25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4 B51 B70 B89 B108 B127 B146 B165 B184">
      <formula1>0</formula1>
      <formula2>NbPerWeek * NbQuartPer</formula2>
    </dataValidation>
    <dataValidation type="list" allowBlank="1" showInputMessage="1" showErrorMessage="1" sqref="A3:A5 A10 A15 A20 A169:A183 A32:A38 A43 A48:A50 A55:A69 A74:A88 A93:A107 A112:A126 A131:A145 A150:A164 A25:A27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8" r:id="rId5"/>
    <hyperlink ref="D49" r:id="rId6"/>
    <hyperlink ref="D50" r:id="rId7"/>
    <hyperlink ref="D77" r:id="rId8"/>
    <hyperlink ref="D75" r:id="rId9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0"/>
  <headerFooter>
    <oddHeader>&amp;L&amp;"ETML L,Normal"&amp;24ETML</oddHeader>
    <oddFooter>&amp;C&amp;F&amp;L&amp;D</oddFooter>
  </headerFooter>
  <drawing r:id="rId11"/>
  <legacyDrawing r:id="rId12"/>
  <controls>
    <mc:AlternateContent xmlns:mc="http://schemas.openxmlformats.org/markup-compatibility/2006">
      <mc:Choice Requires="x14">
        <control shapeId="54273" r:id="rId13" name="btnImportRealisation">
          <controlPr defaultSize="0" autoLine="0" r:id="rId1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13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2017-03-21T12:14:27Z</dcterms:modified>
  <cp:contentStatus>Version 8.0</cp:contentStatus>
</cp:coreProperties>
</file>