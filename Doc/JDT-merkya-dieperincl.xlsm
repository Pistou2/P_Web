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temp-pweb\Doc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JNLTRAV!$A$1:$D$140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39" i="168" l="1"/>
  <c r="B120" i="168"/>
  <c r="B101" i="168"/>
  <c r="B82" i="168"/>
  <c r="B74" i="168"/>
  <c r="B66" i="168"/>
  <c r="B58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<sst xmlns="http://schemas.openxmlformats.org/spreadsheetml/2006/main" count="441" uniqueCount="120">
  <si>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</si>
  <si>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</si>
  <si>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</si>
  <si>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</si>
  <si>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</si>
  <si>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</si>
  <si>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</si>
  <si>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</si>
  <si>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</si>
  <si>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</si>
  <si>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</si>
  <si>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</si>
  <si>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</si>
  <si>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</si>
  <si>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</si>
  <si>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</si>
  <si>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</si>
  <si>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</si>
  <si>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</si>
  <si>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</si>
  <si>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</si>
  <si>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</si>
  <si>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</si>
  <si>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</si>
  <si>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</si>
  <si>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</si>
  <si>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</si>
  <si>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</si>
  <si>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</si>
  <si>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</si>
  <si>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</si>
  <si>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</si>
  <si>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</si>
  <si>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</si>
  <si>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</si>
  <si>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</si>
  <si>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</si>
  <si>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</si>
  <si>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</si>
  <si>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</si>
  <si>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</si>
  <si>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</si>
  <si>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</si>
  <si>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</si>
  <si>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</si>
  <si>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</si>
  <si>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</si>
  <si>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</si>
  <si>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</si>
  <si>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</si>
  <si>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</si>
  <si>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</si>
  <si>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</si>
  <si>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</si>
  <si>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</si>
  <si>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</si>
  <si>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</si>
  <si>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</si>
  <si>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</si>
  <si>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</si>
  <si>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</si>
  <si>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</si>
  <si>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</si>
  <si>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</si>
  <si>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</si>
  <si>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</si>
  <si>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</si>
  <si>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</si>
  <si>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</si>
  <si>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</si>
  <si>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</si>
  <si>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</si>
  <si>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</si>
  <si>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</si>
  <si>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</si>
  <si>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</si>
  <si>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</si>
  <si>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</si>
  <si>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</si>
  <si>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</si>
  <si>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</si>
  <si>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</si>
  <si>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</si>
  <si>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</si>
  <si>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</si>
  <si>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</si>
  <si>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</si>
  <si>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</si>
  <si>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</si>
  <si>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</si>
  <si>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</si>
  <si>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</si>
  <si>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</si>
  <si>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</si>
  <si>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</si>
  <si>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</si>
  <si>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</si>
  <si>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</si>
  <si>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</si>
  <si>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</si>
  <si>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</si>
  <si>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</si>
  <si>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</si>
  <si>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</si>
  <si>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</si>
  <si>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</si>
  <si>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</si>
  <si>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</si>
  <si>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</si>
  <si>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</si>
  <si>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</si>
  <si>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</si>
  <si>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</si>
  <si>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</si>
  <si>
    <t>Clément : Mise au propre de la base de création de compte et mise en place de la communication avec la bd pour la page de login</t>
  </si>
  <si>
    <t>Clément : Ajout de la page d'inscription, avec la sauvegarde dans la base mysql</t>
  </si>
  <si>
    <t>..\Site\src\php\classes\Misc.php</t>
  </si>
  <si>
    <t>Yann : Continué de travailler sur la page d'ajout de livre</t>
  </si>
  <si>
    <t>Yann : Ajouté une fonction permetant d'écrire rapidemment un message d'erreur
Effacé le fichier Error401 puisque que nous redirigeons directement vers la page de login si besoin</t>
  </si>
  <si>
    <t>Yann : Corrections de quelques bugs de redirection un peu sur toutes les pages (avec les header("location : …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</si>
</sst>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vmlDrawing" Target="../drawings/vmlDrawing5.vml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printerSettings" Target="../printerSettings/printerSettings5.bin"/><Relationship Id="rId20" Type="http://schemas.openxmlformats.org/officeDocument/2006/relationships/image" Target="../media/image7.emf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hyperlink" Target="..\Site\src\php\AddBook.php" TargetMode="External"/><Relationship Id="rId10" Type="http://schemas.openxmlformats.org/officeDocument/2006/relationships/hyperlink" Target="MCD-MLD.vsdx" TargetMode="External"/><Relationship Id="rId19" Type="http://schemas.openxmlformats.org/officeDocument/2006/relationships/control" Target="../activeX/activeX7.xm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hyperlink" Target="..\Site\src\php\classes\Misc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tabSelected="1"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4" t="s">
        <v>30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31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32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33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34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35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36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37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38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6"/>
      <c r="HL2" s="124" t="s">
        <v>39</v>
      </c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6"/>
      <c r="IJ2" s="124" t="s">
        <v>40</v>
      </c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6"/>
      <c r="JH2" s="124" t="s">
        <v>41</v>
      </c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/>
      <c r="JX2" s="125"/>
      <c r="JY2" s="125"/>
      <c r="JZ2" s="125"/>
      <c r="KA2" s="125"/>
      <c r="KB2" s="125"/>
      <c r="KC2" s="125"/>
      <c r="KD2" s="125"/>
      <c r="KE2" s="126"/>
      <c r="KF2" s="124" t="s">
        <v>42</v>
      </c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6"/>
      <c r="LD2" s="124" t="s">
        <v>43</v>
      </c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6"/>
      <c r="MB2" s="124" t="s">
        <v>44</v>
      </c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6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2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3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2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3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2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3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2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3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2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3"/>
      <c r="C14" s="96">
        <v>18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115"/>
      <c r="IL14" s="115"/>
      <c r="IM14" s="115"/>
      <c r="IN14" s="115"/>
      <c r="IO14" s="116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2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3"/>
      <c r="C16" s="96">
        <v>3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114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2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3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2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3"/>
      <c r="C20" s="96">
        <v>39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117"/>
      <c r="HY20" s="115"/>
      <c r="HZ20" s="115"/>
      <c r="IA20" s="115"/>
      <c r="IB20" s="115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115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2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3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2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3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2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3"/>
      <c r="C26" s="96">
        <v>18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115"/>
      <c r="II26" s="118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117"/>
      <c r="JC26" s="115"/>
      <c r="JD26" s="115"/>
      <c r="JE26" s="115"/>
      <c r="JF26" s="115"/>
      <c r="JG26" s="118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117"/>
      <c r="JU26" s="115"/>
      <c r="JV26" s="115"/>
      <c r="JW26" s="115"/>
      <c r="JX26" s="115"/>
      <c r="JY26" s="116"/>
      <c r="JZ26" s="117"/>
      <c r="KA26" s="115"/>
      <c r="KB26" s="115"/>
      <c r="KC26" s="115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2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3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2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3"/>
      <c r="C30" s="96">
        <v>42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116"/>
      <c r="ID30" s="117"/>
      <c r="IE30" s="115"/>
      <c r="IF30" s="115"/>
      <c r="IG30" s="115"/>
      <c r="IH30" s="91"/>
      <c r="II30" s="94"/>
      <c r="IJ30" s="90"/>
      <c r="IK30" s="91"/>
      <c r="IL30" s="91"/>
      <c r="IM30" s="91"/>
      <c r="IN30" s="91"/>
      <c r="IO30" s="92"/>
      <c r="IP30" s="117"/>
      <c r="IQ30" s="115"/>
      <c r="IR30" s="115"/>
      <c r="IS30" s="115"/>
      <c r="IT30" s="115"/>
      <c r="IU30" s="116"/>
      <c r="IV30" s="117"/>
      <c r="IW30" s="115"/>
      <c r="IX30" s="115"/>
      <c r="IY30" s="115"/>
      <c r="IZ30" s="115"/>
      <c r="JA30" s="116"/>
      <c r="JB30" s="93"/>
      <c r="JC30" s="91"/>
      <c r="JD30" s="91"/>
      <c r="JE30" s="91"/>
      <c r="JF30" s="91"/>
      <c r="JG30" s="94"/>
      <c r="JH30" s="114"/>
      <c r="JI30" s="115"/>
      <c r="JJ30" s="115"/>
      <c r="JK30" s="115"/>
      <c r="JL30" s="115"/>
      <c r="JM30" s="116"/>
      <c r="JN30" s="117"/>
      <c r="JO30" s="115"/>
      <c r="JP30" s="115"/>
      <c r="JQ30" s="115"/>
      <c r="JR30" s="115"/>
      <c r="JS30" s="116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118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2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3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2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3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2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3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2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3"/>
      <c r="C38" s="96">
        <v>13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116"/>
      <c r="HF38" s="117"/>
      <c r="HG38" s="115"/>
      <c r="HH38" s="115"/>
      <c r="HI38" s="115"/>
      <c r="HJ38" s="115"/>
      <c r="HK38" s="118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288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41"/>
  <sheetViews>
    <sheetView view="pageBreakPreview" zoomScale="115" zoomScaleNormal="100" zoomScaleSheetLayoutView="115" workbookViewId="0">
      <selection activeCell="A82" sqref="A82:XFD9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110</v>
      </c>
      <c r="D56" s="14"/>
    </row>
    <row r="57" spans="1:4" ht="27.75" thickBot="1" x14ac:dyDescent="0.25">
      <c r="A57" s="5" t="s">
        <v>46</v>
      </c>
      <c r="B57" s="6">
        <v>7</v>
      </c>
      <c r="C57" s="14" t="s">
        <v>111</v>
      </c>
      <c r="D57" s="14"/>
    </row>
    <row r="58" spans="1:4" ht="14.25" thickBot="1" x14ac:dyDescent="0.25">
      <c r="A58" s="75" t="s">
        <v>22</v>
      </c>
      <c r="B58" s="75">
        <f>SUM(B55:B57)</f>
        <v>24</v>
      </c>
      <c r="C58" s="104" t="s">
        <v>73</v>
      </c>
      <c r="D58" s="76"/>
    </row>
    <row r="59" spans="1:4" ht="15" thickBot="1" x14ac:dyDescent="0.35">
      <c r="A59" s="77"/>
      <c r="B59" s="77"/>
      <c r="C59" s="77"/>
      <c r="D59" s="77"/>
    </row>
    <row r="60" spans="1:4" ht="18.75" thickBot="1" x14ac:dyDescent="0.25">
      <c r="A60" s="70" t="s">
        <v>14</v>
      </c>
      <c r="B60" s="71">
        <v>10</v>
      </c>
      <c r="C60" s="72" t="s">
        <v>23</v>
      </c>
      <c r="D60" s="81">
        <v>42808</v>
      </c>
    </row>
    <row r="61" spans="1:4" ht="27.75" thickBot="1" x14ac:dyDescent="0.25">
      <c r="A61" s="73" t="s">
        <v>3</v>
      </c>
      <c r="B61" s="74" t="s">
        <v>15</v>
      </c>
      <c r="C61" s="73" t="s">
        <v>7</v>
      </c>
      <c r="D61" s="73" t="s">
        <v>13</v>
      </c>
    </row>
    <row r="62" spans="1:4" ht="13.5" x14ac:dyDescent="0.2">
      <c r="A62" s="9" t="s">
        <v>21</v>
      </c>
      <c r="B62" s="8">
        <v>12</v>
      </c>
      <c r="C62" s="13" t="s">
        <v>105</v>
      </c>
      <c r="D62" s="13"/>
    </row>
    <row r="63" spans="1:4" ht="54" x14ac:dyDescent="0.2">
      <c r="A63" s="5" t="s">
        <v>92</v>
      </c>
      <c r="B63" s="6">
        <v>5</v>
      </c>
      <c r="C63" s="14" t="s">
        <v>100</v>
      </c>
      <c r="D63" s="113" t="s">
        <v>94</v>
      </c>
    </row>
    <row r="64" spans="1:4" ht="27" x14ac:dyDescent="0.2">
      <c r="A64" s="5" t="s">
        <v>55</v>
      </c>
      <c r="B64" s="6">
        <v>5</v>
      </c>
      <c r="C64" s="14" t="s">
        <v>101</v>
      </c>
      <c r="D64" s="14" t="s">
        <v>104</v>
      </c>
    </row>
    <row r="65" spans="1:4" ht="14.25" thickBot="1" x14ac:dyDescent="0.25">
      <c r="A65" s="5" t="s">
        <v>53</v>
      </c>
      <c r="B65" s="6">
        <v>2</v>
      </c>
      <c r="C65" s="14" t="s">
        <v>102</v>
      </c>
      <c r="D65" s="113" t="s">
        <v>103</v>
      </c>
    </row>
    <row r="66" spans="1:4" ht="14.25" thickBot="1" x14ac:dyDescent="0.25">
      <c r="A66" s="75" t="s">
        <v>22</v>
      </c>
      <c r="B66" s="75">
        <f>SUM(B62:B65)</f>
        <v>24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11</v>
      </c>
      <c r="C68" s="72" t="s">
        <v>23</v>
      </c>
      <c r="D68" s="81">
        <v>42815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27" x14ac:dyDescent="0.2">
      <c r="A70" s="9" t="s">
        <v>29</v>
      </c>
      <c r="B70" s="8">
        <v>1</v>
      </c>
      <c r="C70" s="13" t="s">
        <v>108</v>
      </c>
      <c r="D70" s="112" t="s">
        <v>109</v>
      </c>
    </row>
    <row r="71" spans="1:4" ht="13.5" x14ac:dyDescent="0.2">
      <c r="A71" s="5" t="s">
        <v>27</v>
      </c>
      <c r="B71" s="6">
        <v>5</v>
      </c>
      <c r="C71" s="14" t="s">
        <v>106</v>
      </c>
      <c r="D71" s="119" t="s">
        <v>107</v>
      </c>
    </row>
    <row r="72" spans="1:4" ht="27" x14ac:dyDescent="0.2">
      <c r="A72" s="5" t="s">
        <v>55</v>
      </c>
      <c r="B72" s="6">
        <v>12</v>
      </c>
      <c r="C72" s="14" t="s">
        <v>115</v>
      </c>
      <c r="D72" s="113" t="s">
        <v>113</v>
      </c>
    </row>
    <row r="73" spans="1:4" ht="14.25" thickBot="1" x14ac:dyDescent="0.25">
      <c r="A73" s="5" t="s">
        <v>53</v>
      </c>
      <c r="B73" s="6">
        <v>6</v>
      </c>
      <c r="C73" s="14" t="s">
        <v>112</v>
      </c>
      <c r="D73" s="113" t="s">
        <v>103</v>
      </c>
    </row>
    <row r="74" spans="1:4" ht="14.25" thickBot="1" x14ac:dyDescent="0.25">
      <c r="A74" s="75" t="s">
        <v>22</v>
      </c>
      <c r="B74" s="75">
        <f>SUM(B70:B73)</f>
        <v>24</v>
      </c>
      <c r="C74" s="104" t="s">
        <v>73</v>
      </c>
      <c r="D74" s="76"/>
    </row>
    <row r="75" spans="1:4" ht="15" thickBot="1" x14ac:dyDescent="0.35">
      <c r="A75" s="77"/>
      <c r="B75" s="77"/>
      <c r="C75" s="77"/>
      <c r="D75" s="77"/>
    </row>
    <row r="76" spans="1:4" ht="18.75" thickBot="1" x14ac:dyDescent="0.25">
      <c r="A76" s="70" t="s">
        <v>14</v>
      </c>
      <c r="B76" s="71">
        <v>12</v>
      </c>
      <c r="C76" s="72" t="s">
        <v>23</v>
      </c>
      <c r="D76" s="81">
        <v>42822</v>
      </c>
    </row>
    <row r="77" spans="1:4" ht="27.75" thickBot="1" x14ac:dyDescent="0.25">
      <c r="A77" s="73" t="s">
        <v>3</v>
      </c>
      <c r="B77" s="74" t="s">
        <v>15</v>
      </c>
      <c r="C77" s="73" t="s">
        <v>7</v>
      </c>
      <c r="D77" s="73" t="s">
        <v>13</v>
      </c>
    </row>
    <row r="78" spans="1:4" ht="27" x14ac:dyDescent="0.2">
      <c r="A78" s="9" t="s">
        <v>55</v>
      </c>
      <c r="B78" s="8">
        <v>12</v>
      </c>
      <c r="C78" s="13" t="s">
        <v>114</v>
      </c>
      <c r="D78" s="13"/>
    </row>
    <row r="79" spans="1:4" ht="13.5" x14ac:dyDescent="0.2">
      <c r="A79" s="5" t="s">
        <v>53</v>
      </c>
      <c r="B79" s="6">
        <v>10</v>
      </c>
      <c r="C79" s="14" t="s">
        <v>117</v>
      </c>
      <c r="D79" s="113" t="s">
        <v>103</v>
      </c>
    </row>
    <row r="80" spans="1:4" ht="40.5" x14ac:dyDescent="0.2">
      <c r="A80" s="5" t="s">
        <v>92</v>
      </c>
      <c r="B80" s="6">
        <v>1</v>
      </c>
      <c r="C80" s="14" t="s">
        <v>118</v>
      </c>
      <c r="D80" s="113" t="s">
        <v>116</v>
      </c>
    </row>
    <row r="81" spans="1:4" ht="27.75" thickBot="1" x14ac:dyDescent="0.25">
      <c r="A81" s="5" t="s">
        <v>55</v>
      </c>
      <c r="B81" s="6">
        <v>1</v>
      </c>
      <c r="C81" s="14" t="s">
        <v>119</v>
      </c>
      <c r="D81" s="14"/>
    </row>
    <row r="82" spans="1:4" ht="14.25" thickBot="1" x14ac:dyDescent="0.25">
      <c r="A82" s="75" t="s">
        <v>22</v>
      </c>
      <c r="B82" s="75">
        <f>SUM(B78:B81)</f>
        <v>24</v>
      </c>
      <c r="C82" s="104" t="s">
        <v>73</v>
      </c>
      <c r="D82" s="76"/>
    </row>
    <row r="83" spans="1:4" ht="15" thickBot="1" x14ac:dyDescent="0.35">
      <c r="A83" s="77"/>
      <c r="B83" s="77"/>
      <c r="C83" s="77"/>
      <c r="D83" s="77"/>
    </row>
    <row r="84" spans="1:4" ht="18.75" thickBot="1" x14ac:dyDescent="0.25">
      <c r="A84" s="70" t="s">
        <v>14</v>
      </c>
      <c r="B84" s="71">
        <v>13</v>
      </c>
      <c r="C84" s="72" t="s">
        <v>23</v>
      </c>
      <c r="D84" s="81">
        <v>42829</v>
      </c>
    </row>
    <row r="85" spans="1:4" ht="27.75" thickBot="1" x14ac:dyDescent="0.25">
      <c r="A85" s="73" t="s">
        <v>3</v>
      </c>
      <c r="B85" s="74" t="s">
        <v>15</v>
      </c>
      <c r="C85" s="73" t="s">
        <v>7</v>
      </c>
      <c r="D85" s="73" t="s">
        <v>13</v>
      </c>
    </row>
    <row r="86" spans="1:4" ht="13.5" x14ac:dyDescent="0.2">
      <c r="A86" s="9"/>
      <c r="B86" s="8"/>
      <c r="C86" s="13"/>
      <c r="D86" s="13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78"/>
      <c r="B98" s="78"/>
      <c r="C98" s="79"/>
      <c r="D98" s="79"/>
    </row>
    <row r="99" spans="1:4" ht="13.5" x14ac:dyDescent="0.2">
      <c r="A99" s="78"/>
      <c r="B99" s="78"/>
      <c r="C99" s="79"/>
      <c r="D99" s="79"/>
    </row>
    <row r="100" spans="1:4" ht="14.25" thickBot="1" x14ac:dyDescent="0.25">
      <c r="A100" s="7"/>
      <c r="B100" s="7"/>
      <c r="C100" s="15"/>
      <c r="D100" s="15"/>
    </row>
    <row r="101" spans="1:4" ht="14.25" thickBot="1" x14ac:dyDescent="0.25">
      <c r="A101" s="75" t="s">
        <v>22</v>
      </c>
      <c r="B101" s="75">
        <f>SUM(B86:B100)</f>
        <v>0</v>
      </c>
      <c r="C101" s="104" t="s">
        <v>73</v>
      </c>
      <c r="D101" s="76"/>
    </row>
    <row r="102" spans="1:4" ht="15" thickBot="1" x14ac:dyDescent="0.35">
      <c r="A102" s="77"/>
      <c r="B102" s="77"/>
      <c r="C102" s="77"/>
      <c r="D102" s="77"/>
    </row>
    <row r="103" spans="1:4" ht="18.75" thickBot="1" x14ac:dyDescent="0.25">
      <c r="A103" s="70" t="s">
        <v>14</v>
      </c>
      <c r="B103" s="71">
        <v>14</v>
      </c>
      <c r="C103" s="72" t="s">
        <v>23</v>
      </c>
      <c r="D103" s="81">
        <v>42836</v>
      </c>
    </row>
    <row r="104" spans="1:4" ht="27.75" thickBot="1" x14ac:dyDescent="0.25">
      <c r="A104" s="73" t="s">
        <v>3</v>
      </c>
      <c r="B104" s="74" t="s">
        <v>15</v>
      </c>
      <c r="C104" s="73" t="s">
        <v>7</v>
      </c>
      <c r="D104" s="73" t="s">
        <v>13</v>
      </c>
    </row>
    <row r="105" spans="1:4" ht="13.5" x14ac:dyDescent="0.2">
      <c r="A105" s="9"/>
      <c r="B105" s="8"/>
      <c r="C105" s="13"/>
      <c r="D105" s="13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78"/>
      <c r="B117" s="78"/>
      <c r="C117" s="79"/>
      <c r="D117" s="79"/>
    </row>
    <row r="118" spans="1:4" ht="13.5" x14ac:dyDescent="0.2">
      <c r="A118" s="78"/>
      <c r="B118" s="78"/>
      <c r="C118" s="79"/>
      <c r="D118" s="79"/>
    </row>
    <row r="119" spans="1:4" ht="14.25" thickBot="1" x14ac:dyDescent="0.25">
      <c r="A119" s="7"/>
      <c r="B119" s="7"/>
      <c r="C119" s="15"/>
      <c r="D119" s="15"/>
    </row>
    <row r="120" spans="1:4" ht="14.25" thickBot="1" x14ac:dyDescent="0.25">
      <c r="A120" s="75" t="s">
        <v>22</v>
      </c>
      <c r="B120" s="75">
        <f>SUM(B105:B119)</f>
        <v>0</v>
      </c>
      <c r="C120" s="104" t="s">
        <v>73</v>
      </c>
      <c r="D120" s="76"/>
    </row>
    <row r="121" spans="1:4" ht="15" thickBot="1" x14ac:dyDescent="0.35">
      <c r="A121" s="77"/>
      <c r="B121" s="77"/>
      <c r="C121" s="77"/>
      <c r="D121" s="77"/>
    </row>
    <row r="122" spans="1:4" ht="18.75" thickBot="1" x14ac:dyDescent="0.25">
      <c r="A122" s="70" t="s">
        <v>14</v>
      </c>
      <c r="B122" s="71">
        <v>15</v>
      </c>
      <c r="C122" s="72" t="s">
        <v>23</v>
      </c>
      <c r="D122" s="81">
        <v>42843</v>
      </c>
    </row>
    <row r="123" spans="1:4" ht="27.75" thickBot="1" x14ac:dyDescent="0.25">
      <c r="A123" s="73" t="s">
        <v>3</v>
      </c>
      <c r="B123" s="74" t="s">
        <v>15</v>
      </c>
      <c r="C123" s="73" t="s">
        <v>7</v>
      </c>
      <c r="D123" s="73" t="s">
        <v>13</v>
      </c>
    </row>
    <row r="124" spans="1:4" ht="13.5" x14ac:dyDescent="0.2">
      <c r="A124" s="9"/>
      <c r="B124" s="8"/>
      <c r="C124" s="13"/>
      <c r="D124" s="13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6"/>
      <c r="B133" s="6"/>
      <c r="C133" s="14"/>
      <c r="D133" s="14"/>
    </row>
    <row r="134" spans="1:4" ht="13.5" x14ac:dyDescent="0.2">
      <c r="A134" s="6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78"/>
      <c r="B136" s="78"/>
      <c r="C136" s="79"/>
      <c r="D136" s="79"/>
    </row>
    <row r="137" spans="1:4" ht="13.5" x14ac:dyDescent="0.2">
      <c r="A137" s="78"/>
      <c r="B137" s="78"/>
      <c r="C137" s="79"/>
      <c r="D137" s="79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75" t="s">
        <v>22</v>
      </c>
      <c r="B139" s="75">
        <f>SUM(B124:B138)</f>
        <v>0</v>
      </c>
      <c r="C139" s="104" t="s">
        <v>73</v>
      </c>
      <c r="D139" s="76"/>
    </row>
    <row r="140" spans="1:4" ht="14.25" x14ac:dyDescent="0.3">
      <c r="A140" s="77"/>
      <c r="B140" s="77"/>
      <c r="C140" s="77"/>
      <c r="D140" s="77"/>
    </row>
    <row r="141" spans="1:4" x14ac:dyDescent="0.2">
      <c r="A141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24:B138 B32:B38 B43 B48:B50 B55:B57 B62:B65 B70:B73 B86:B100 B105:B119 B25:B27 B78:B8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58 B66 B74 B82 B101 B120 B139">
      <formula1>0</formula1>
      <formula2>NbPerWeek * NbQuartPer</formula2>
    </dataValidation>
    <dataValidation type="list" allowBlank="1" showInputMessage="1" showErrorMessage="1" sqref="A3:A5 A10 A15 A20 A124:A138 A32:A38 A43 A48:A50 A55:A57 A62:A65 A70:A73 A86:A100 A105:A119 A25:A27 A78:A81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65" r:id="rId8"/>
    <hyperlink ref="D63" r:id="rId9"/>
    <hyperlink ref="D71" r:id="rId10"/>
    <hyperlink ref="D70" r:id="rId11"/>
    <hyperlink ref="D73" r:id="rId12"/>
    <hyperlink ref="D72" r:id="rId13"/>
    <hyperlink ref="D80" r:id="rId14"/>
    <hyperlink ref="D79" r:id="rId1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6"/>
  <headerFooter>
    <oddHeader>&amp;L&amp;"ETML L,Normal"&amp;24ETML</oddHeader>
    <oddFooter>&amp;C&amp;F&amp;L&amp;D</oddFooter>
  </headerFooter>
  <drawing r:id="rId17"/>
  <legacyDrawing r:id="rId18"/>
  <controls>
    <mc:AlternateContent xmlns:mc="http://schemas.openxmlformats.org/markup-compatibility/2006">
      <mc:Choice Requires="x14">
        <control shapeId="54273" r:id="rId19" name="btnImportRealisation">
          <controlPr defaultSize="0" autoLine="0" r:id="rId2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2017-03-28T14:34:23Z</dcterms:modified>
  <cp:contentStatus>Version 8.0</cp:contentStatus>
</cp:coreProperties>
</file>