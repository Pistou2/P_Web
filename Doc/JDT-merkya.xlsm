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Diagramme!$A$1:$MZ$39</definedName>
    <definedName name="_xlnm.Print_Area" localSheetId="0">Donnees!$A$1:$G$54</definedName>
    <definedName name="_xlnm.Print_Area" localSheetId="7">JNLTRAV!$A$1:$D$285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69" l="1"/>
  <c r="B33" i="169"/>
  <c r="B31" i="169"/>
  <c r="B29" i="169"/>
  <c r="B27" i="169"/>
  <c r="B25" i="169"/>
  <c r="B23" i="169"/>
  <c r="B21" i="169"/>
  <c r="B19" i="169"/>
  <c r="B17" i="169"/>
  <c r="B15" i="169"/>
  <c r="B13" i="169"/>
  <c r="B11" i="169"/>
  <c r="B9" i="169"/>
  <c r="B7" i="169"/>
  <c r="B5" i="169"/>
  <c r="C38" i="169"/>
  <c r="C37" i="169"/>
  <c r="B284" i="168"/>
  <c r="B265" i="168"/>
  <c r="B246" i="168"/>
  <c r="B227" i="168"/>
  <c r="B208" i="168"/>
  <c r="B189" i="168"/>
  <c r="B170" i="168"/>
  <c r="B151" i="168"/>
  <c r="B132" i="168"/>
  <c r="B113" i="168"/>
  <c r="B94" i="168"/>
  <c r="B75" i="168"/>
  <c r="B56" i="168"/>
  <c r="B37" i="168"/>
  <c r="B18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<sst xmlns="http://schemas.openxmlformats.org/spreadsheetml/2006/main" count="354" uniqueCount="75">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</sst>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abSelected="1" zoomScaleNormal="100" workbookViewId="0">
      <selection activeCell="C5" sqref="C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51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52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53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71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46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8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09" t="s">
        <v>30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1"/>
      <c r="AB2" s="109" t="s">
        <v>31</v>
      </c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1"/>
      <c r="AZ2" s="109" t="s">
        <v>32</v>
      </c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1"/>
      <c r="BX2" s="109" t="s">
        <v>33</v>
      </c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1"/>
      <c r="CV2" s="109" t="s">
        <v>34</v>
      </c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1"/>
      <c r="DT2" s="109" t="s">
        <v>35</v>
      </c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1"/>
      <c r="ER2" s="109" t="s">
        <v>36</v>
      </c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1"/>
      <c r="FP2" s="109" t="s">
        <v>37</v>
      </c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1"/>
      <c r="GN2" s="109" t="s">
        <v>38</v>
      </c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1"/>
      <c r="HL2" s="109" t="s">
        <v>39</v>
      </c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1"/>
      <c r="IJ2" s="109" t="s">
        <v>40</v>
      </c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1"/>
      <c r="JH2" s="109" t="s">
        <v>41</v>
      </c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1"/>
      <c r="KF2" s="109" t="s">
        <v>42</v>
      </c>
      <c r="KG2" s="110"/>
      <c r="KH2" s="110"/>
      <c r="KI2" s="110"/>
      <c r="KJ2" s="110"/>
      <c r="KK2" s="110"/>
      <c r="KL2" s="110"/>
      <c r="KM2" s="110"/>
      <c r="KN2" s="110"/>
      <c r="KO2" s="110"/>
      <c r="KP2" s="110"/>
      <c r="KQ2" s="110"/>
      <c r="KR2" s="110"/>
      <c r="KS2" s="110"/>
      <c r="KT2" s="110"/>
      <c r="KU2" s="110"/>
      <c r="KV2" s="110"/>
      <c r="KW2" s="110"/>
      <c r="KX2" s="110"/>
      <c r="KY2" s="110"/>
      <c r="KZ2" s="110"/>
      <c r="LA2" s="110"/>
      <c r="LB2" s="110"/>
      <c r="LC2" s="111"/>
      <c r="LD2" s="109" t="s">
        <v>43</v>
      </c>
      <c r="LE2" s="110"/>
      <c r="LF2" s="110"/>
      <c r="LG2" s="110"/>
      <c r="LH2" s="110"/>
      <c r="LI2" s="110"/>
      <c r="LJ2" s="110"/>
      <c r="LK2" s="110"/>
      <c r="LL2" s="110"/>
      <c r="LM2" s="110"/>
      <c r="LN2" s="110"/>
      <c r="LO2" s="110"/>
      <c r="LP2" s="110"/>
      <c r="LQ2" s="110"/>
      <c r="LR2" s="110"/>
      <c r="LS2" s="110"/>
      <c r="LT2" s="110"/>
      <c r="LU2" s="110"/>
      <c r="LV2" s="110"/>
      <c r="LW2" s="110"/>
      <c r="LX2" s="110"/>
      <c r="LY2" s="110"/>
      <c r="LZ2" s="110"/>
      <c r="MA2" s="111"/>
      <c r="MB2" s="109" t="s">
        <v>44</v>
      </c>
      <c r="MC2" s="110"/>
      <c r="MD2" s="110"/>
      <c r="ME2" s="110"/>
      <c r="MF2" s="110"/>
      <c r="MG2" s="110"/>
      <c r="MH2" s="110"/>
      <c r="MI2" s="110"/>
      <c r="MJ2" s="110"/>
      <c r="MK2" s="110"/>
      <c r="ML2" s="110"/>
      <c r="MM2" s="110"/>
      <c r="MN2" s="110"/>
      <c r="MO2" s="110"/>
      <c r="MP2" s="110"/>
      <c r="MQ2" s="110"/>
      <c r="MR2" s="110"/>
      <c r="MS2" s="110"/>
      <c r="MT2" s="110"/>
      <c r="MU2" s="110"/>
      <c r="MV2" s="110"/>
      <c r="MW2" s="110"/>
      <c r="MX2" s="110"/>
      <c r="MY2" s="111"/>
    </row>
    <row r="3" spans="1:363" ht="19.5" customHeight="1" x14ac:dyDescent="0.2">
      <c r="A3" s="84"/>
      <c r="B3" s="112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13"/>
      <c r="C4" s="44">
        <v>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90"/>
      <c r="AC4" s="91"/>
      <c r="AD4" s="91"/>
      <c r="AE4" s="91"/>
      <c r="AF4" s="91"/>
      <c r="AG4" s="92"/>
      <c r="AH4" s="93"/>
      <c r="AI4" s="91"/>
      <c r="AJ4" s="91"/>
      <c r="AK4" s="91"/>
      <c r="AL4" s="91"/>
      <c r="AM4" s="92"/>
      <c r="AN4" s="93"/>
      <c r="AO4" s="91"/>
      <c r="AP4" s="91"/>
      <c r="AQ4" s="91"/>
      <c r="AR4" s="91"/>
      <c r="AS4" s="92"/>
      <c r="AT4" s="93"/>
      <c r="AU4" s="91"/>
      <c r="AV4" s="91"/>
      <c r="AW4" s="91"/>
      <c r="AX4" s="91"/>
      <c r="AY4" s="94"/>
      <c r="AZ4" s="90"/>
      <c r="BA4" s="91"/>
      <c r="BB4" s="91"/>
      <c r="BC4" s="91"/>
      <c r="BD4" s="91"/>
      <c r="BE4" s="92"/>
      <c r="BF4" s="93"/>
      <c r="BG4" s="91"/>
      <c r="BH4" s="91"/>
      <c r="BI4" s="91"/>
      <c r="BJ4" s="91"/>
      <c r="BK4" s="92"/>
      <c r="BL4" s="93"/>
      <c r="BM4" s="91"/>
      <c r="BN4" s="91"/>
      <c r="BO4" s="91"/>
      <c r="BP4" s="91"/>
      <c r="BQ4" s="92"/>
      <c r="BR4" s="93"/>
      <c r="BS4" s="91"/>
      <c r="BT4" s="91"/>
      <c r="BU4" s="91"/>
      <c r="BV4" s="91"/>
      <c r="BW4" s="94"/>
      <c r="BX4" s="90"/>
      <c r="BY4" s="91"/>
      <c r="BZ4" s="91"/>
      <c r="CA4" s="91"/>
      <c r="CB4" s="91"/>
      <c r="CC4" s="92"/>
      <c r="CD4" s="93"/>
      <c r="CE4" s="91"/>
      <c r="CF4" s="91"/>
      <c r="CG4" s="91"/>
      <c r="CH4" s="91"/>
      <c r="CI4" s="92"/>
      <c r="CJ4" s="93"/>
      <c r="CK4" s="91"/>
      <c r="CL4" s="91"/>
      <c r="CM4" s="91"/>
      <c r="CN4" s="91"/>
      <c r="CO4" s="92"/>
      <c r="CP4" s="93"/>
      <c r="CQ4" s="91"/>
      <c r="CR4" s="91"/>
      <c r="CS4" s="91"/>
      <c r="CT4" s="91"/>
      <c r="CU4" s="94"/>
      <c r="CV4" s="90"/>
      <c r="CW4" s="91"/>
      <c r="CX4" s="91"/>
      <c r="CY4" s="91"/>
      <c r="CZ4" s="91"/>
      <c r="DA4" s="92"/>
      <c r="DB4" s="93"/>
      <c r="DC4" s="91"/>
      <c r="DD4" s="91"/>
      <c r="DE4" s="91"/>
      <c r="DF4" s="91"/>
      <c r="DG4" s="92"/>
      <c r="DH4" s="93"/>
      <c r="DI4" s="91"/>
      <c r="DJ4" s="91"/>
      <c r="DK4" s="91"/>
      <c r="DL4" s="91"/>
      <c r="DM4" s="92"/>
      <c r="DN4" s="93"/>
      <c r="DO4" s="91"/>
      <c r="DP4" s="91"/>
      <c r="DQ4" s="91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14" t="str">
        <f>Donnees!$C$21</f>
        <v>Doc : Lecture et signature du Cdc</v>
      </c>
      <c r="C5" s="95">
        <v>10</v>
      </c>
      <c r="D5" s="117"/>
      <c r="E5" s="118"/>
      <c r="F5" s="118"/>
      <c r="G5" s="118"/>
      <c r="H5" s="118"/>
      <c r="I5" s="119"/>
      <c r="J5" s="120"/>
      <c r="K5" s="118"/>
      <c r="L5" s="118"/>
      <c r="M5" s="11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15"/>
      <c r="C6" s="96">
        <v>0</v>
      </c>
      <c r="D6" s="90"/>
      <c r="E6" s="91"/>
      <c r="F6" s="91"/>
      <c r="G6" s="91"/>
      <c r="H6" s="91"/>
      <c r="I6" s="92"/>
      <c r="J6" s="93"/>
      <c r="K6" s="91"/>
      <c r="L6" s="91"/>
      <c r="M6" s="91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14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18"/>
      <c r="O7" s="119"/>
      <c r="P7" s="120"/>
      <c r="Q7" s="11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15"/>
      <c r="C8" s="96">
        <v>0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91"/>
      <c r="O8" s="92"/>
      <c r="P8" s="93"/>
      <c r="Q8" s="91"/>
      <c r="R8" s="91"/>
      <c r="S8" s="91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14" t="str">
        <f>Donnees!$C$23</f>
        <v>Doc : Maquette Site</v>
      </c>
      <c r="C9" s="95">
        <v>32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18"/>
      <c r="AS9" s="119"/>
      <c r="AT9" s="120"/>
      <c r="AU9" s="118"/>
      <c r="AV9" s="118"/>
      <c r="AW9" s="118"/>
      <c r="AX9" s="118"/>
      <c r="AY9" s="121"/>
      <c r="AZ9" s="117"/>
      <c r="BA9" s="118"/>
      <c r="BB9" s="118"/>
      <c r="BC9" s="118"/>
      <c r="BD9" s="118"/>
      <c r="BE9" s="119"/>
      <c r="BF9" s="120"/>
      <c r="BG9" s="118"/>
      <c r="BH9" s="118"/>
      <c r="BI9" s="118"/>
      <c r="BJ9" s="118"/>
      <c r="BK9" s="119"/>
      <c r="BL9" s="120"/>
      <c r="BM9" s="118"/>
      <c r="BN9" s="118"/>
      <c r="BO9" s="118"/>
      <c r="BP9" s="118"/>
      <c r="BQ9" s="119"/>
      <c r="BR9" s="120"/>
      <c r="BS9" s="118"/>
      <c r="BT9" s="118"/>
      <c r="BU9" s="118"/>
      <c r="BV9" s="118"/>
      <c r="BW9" s="121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15"/>
      <c r="C10" s="96">
        <v>0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91"/>
      <c r="EK10" s="92"/>
      <c r="EL10" s="93"/>
      <c r="EM10" s="91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14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17"/>
      <c r="MC11" s="118"/>
      <c r="MD11" s="118"/>
      <c r="ME11" s="118"/>
      <c r="MF11" s="118"/>
      <c r="MG11" s="119"/>
      <c r="MH11" s="120"/>
      <c r="MI11" s="118"/>
      <c r="MJ11" s="118"/>
      <c r="MK11" s="118"/>
      <c r="ML11" s="118"/>
      <c r="MM11" s="119"/>
      <c r="MN11" s="120"/>
      <c r="MO11" s="118"/>
      <c r="MP11" s="118"/>
      <c r="MQ11" s="118"/>
      <c r="MR11" s="118"/>
      <c r="MS11" s="119"/>
      <c r="MT11" s="120"/>
      <c r="MU11" s="118"/>
      <c r="MV11" s="118"/>
      <c r="MW11" s="118"/>
      <c r="MX11" s="118"/>
      <c r="MY11" s="121"/>
    </row>
    <row r="12" spans="1:363" ht="19.5" customHeight="1" thickBot="1" x14ac:dyDescent="0.25">
      <c r="B12" s="115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14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18"/>
      <c r="S13" s="118"/>
      <c r="T13" s="118"/>
      <c r="U13" s="119"/>
      <c r="V13" s="120"/>
      <c r="W13" s="118"/>
      <c r="X13" s="118"/>
      <c r="Y13" s="118"/>
      <c r="Z13" s="118"/>
      <c r="AA13" s="121"/>
      <c r="AB13" s="117"/>
      <c r="AC13" s="11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15"/>
      <c r="C14" s="96">
        <v>0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91"/>
      <c r="U14" s="92"/>
      <c r="V14" s="93"/>
      <c r="W14" s="91"/>
      <c r="X14" s="91"/>
      <c r="Y14" s="91"/>
      <c r="Z14" s="91"/>
      <c r="AA14" s="94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91"/>
      <c r="DS14" s="94"/>
      <c r="DT14" s="90"/>
      <c r="DU14" s="91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14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19"/>
      <c r="AN15" s="120"/>
      <c r="AO15" s="118"/>
      <c r="AP15" s="118"/>
      <c r="AQ15" s="11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15"/>
      <c r="C16" s="96">
        <v>0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14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18"/>
      <c r="AK17" s="118"/>
      <c r="AL17" s="11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15"/>
      <c r="C18" s="96">
        <v>0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14" t="str">
        <f>Donnees!$C$28</f>
        <v>Site : Accueil</v>
      </c>
      <c r="C19" s="95">
        <v>12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117"/>
      <c r="BY19" s="118"/>
      <c r="BZ19" s="118"/>
      <c r="CA19" s="118"/>
      <c r="CB19" s="118"/>
      <c r="CC19" s="119"/>
      <c r="CD19" s="120"/>
      <c r="CE19" s="118"/>
      <c r="CF19" s="118"/>
      <c r="CG19" s="118"/>
      <c r="CH19" s="118"/>
      <c r="CI19" s="119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15"/>
      <c r="C20" s="96">
        <v>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14" t="str">
        <f>Donnees!$C$29</f>
        <v>Site : Liste ouvrages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120"/>
      <c r="CK21" s="118"/>
      <c r="CL21" s="118"/>
      <c r="CM21" s="118"/>
      <c r="CN21" s="118"/>
      <c r="CO21" s="119"/>
      <c r="CP21" s="120"/>
      <c r="CQ21" s="118"/>
      <c r="CR21" s="118"/>
      <c r="CS21" s="118"/>
      <c r="CT21" s="118"/>
      <c r="CU21" s="121"/>
      <c r="CV21" s="117"/>
      <c r="CW21" s="118"/>
      <c r="CX21" s="118"/>
      <c r="CY21" s="118"/>
      <c r="CZ21" s="118"/>
      <c r="DA21" s="119"/>
      <c r="DB21" s="120"/>
      <c r="DC21" s="118"/>
      <c r="DD21" s="118"/>
      <c r="DE21" s="118"/>
      <c r="DF21" s="118"/>
      <c r="DG21" s="119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15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14" t="str">
        <f>Donnees!$C$30</f>
        <v>Site : Ajout ouvrage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120"/>
      <c r="DI23" s="118"/>
      <c r="DJ23" s="118"/>
      <c r="DK23" s="118"/>
      <c r="DL23" s="118"/>
      <c r="DM23" s="119"/>
      <c r="DN23" s="120"/>
      <c r="DO23" s="118"/>
      <c r="DP23" s="118"/>
      <c r="DQ23" s="118"/>
      <c r="DR23" s="118"/>
      <c r="DS23" s="121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15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14" t="str">
        <f>Donnees!$C$31</f>
        <v>Site : Appréciation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117"/>
      <c r="DU25" s="118"/>
      <c r="DV25" s="118"/>
      <c r="DW25" s="118"/>
      <c r="DX25" s="118"/>
      <c r="DY25" s="119"/>
      <c r="DZ25" s="120"/>
      <c r="EA25" s="118"/>
      <c r="EB25" s="118"/>
      <c r="EC25" s="118"/>
      <c r="ED25" s="118"/>
      <c r="EE25" s="119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15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14" t="str">
        <f>Donnees!$C$32</f>
        <v>Site : Login / Création de compte</v>
      </c>
      <c r="C27" s="95">
        <v>18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120"/>
      <c r="EG27" s="118"/>
      <c r="EH27" s="118"/>
      <c r="EI27" s="118"/>
      <c r="EJ27" s="118"/>
      <c r="EK27" s="119"/>
      <c r="EL27" s="120"/>
      <c r="EM27" s="118"/>
      <c r="EN27" s="118"/>
      <c r="EO27" s="118"/>
      <c r="EP27" s="118"/>
      <c r="EQ27" s="121"/>
      <c r="ER27" s="117"/>
      <c r="ES27" s="118"/>
      <c r="ET27" s="118"/>
      <c r="EU27" s="118"/>
      <c r="EV27" s="118"/>
      <c r="EW27" s="119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15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14" t="str">
        <f>Donnees!$C$33</f>
        <v>Site : Contact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120"/>
      <c r="EY29" s="118"/>
      <c r="EZ29" s="118"/>
      <c r="FA29" s="118"/>
      <c r="FB29" s="118"/>
      <c r="FC29" s="119"/>
      <c r="FD29" s="120"/>
      <c r="FE29" s="118"/>
      <c r="FF29" s="118"/>
      <c r="FG29" s="118"/>
      <c r="FH29" s="118"/>
      <c r="FI29" s="119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15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14" t="str">
        <f>Donnees!$C$34</f>
        <v>Site : Point écoconception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120"/>
      <c r="FK31" s="118"/>
      <c r="FL31" s="118"/>
      <c r="FM31" s="118"/>
      <c r="FN31" s="118"/>
      <c r="FO31" s="121"/>
      <c r="FP31" s="117"/>
      <c r="FQ31" s="118"/>
      <c r="FR31" s="118"/>
      <c r="FS31" s="118"/>
      <c r="FT31" s="118"/>
      <c r="FU31" s="119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15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14" t="str">
        <f>Donnees!$C$35</f>
        <v>Site : Tests / Finitions</v>
      </c>
      <c r="C33" s="95">
        <v>30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120"/>
      <c r="FW33" s="118"/>
      <c r="FX33" s="118"/>
      <c r="FY33" s="118"/>
      <c r="FZ33" s="118"/>
      <c r="GA33" s="119"/>
      <c r="GB33" s="120"/>
      <c r="GC33" s="118"/>
      <c r="GD33" s="118"/>
      <c r="GE33" s="118"/>
      <c r="GF33" s="118"/>
      <c r="GG33" s="119"/>
      <c r="GH33" s="120"/>
      <c r="GI33" s="118"/>
      <c r="GJ33" s="118"/>
      <c r="GK33" s="118"/>
      <c r="GL33" s="118"/>
      <c r="GM33" s="121"/>
      <c r="GN33" s="117"/>
      <c r="GO33" s="118"/>
      <c r="GP33" s="118"/>
      <c r="GQ33" s="118"/>
      <c r="GR33" s="118"/>
      <c r="GS33" s="119"/>
      <c r="GT33" s="120"/>
      <c r="GU33" s="118"/>
      <c r="GV33" s="118"/>
      <c r="GW33" s="118"/>
      <c r="GX33" s="118"/>
      <c r="GY33" s="119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15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14" t="str">
        <f>Donnees!$C$36</f>
        <v>Autre</v>
      </c>
      <c r="C35" s="95">
        <v>138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118"/>
      <c r="AE35" s="118"/>
      <c r="AF35" s="118"/>
      <c r="AG35" s="119"/>
      <c r="AH35" s="120"/>
      <c r="AI35" s="118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120"/>
      <c r="HA35" s="118"/>
      <c r="HB35" s="118"/>
      <c r="HC35" s="118"/>
      <c r="HD35" s="118"/>
      <c r="HE35" s="119"/>
      <c r="HF35" s="120"/>
      <c r="HG35" s="118"/>
      <c r="HH35" s="118"/>
      <c r="HI35" s="118"/>
      <c r="HJ35" s="118"/>
      <c r="HK35" s="121"/>
      <c r="HL35" s="117"/>
      <c r="HM35" s="118"/>
      <c r="HN35" s="118"/>
      <c r="HO35" s="118"/>
      <c r="HP35" s="118"/>
      <c r="HQ35" s="119"/>
      <c r="HR35" s="120"/>
      <c r="HS35" s="118"/>
      <c r="HT35" s="118"/>
      <c r="HU35" s="118"/>
      <c r="HV35" s="118"/>
      <c r="HW35" s="119"/>
      <c r="HX35" s="120"/>
      <c r="HY35" s="118"/>
      <c r="HZ35" s="118"/>
      <c r="IA35" s="118"/>
      <c r="IB35" s="118"/>
      <c r="IC35" s="119"/>
      <c r="ID35" s="120"/>
      <c r="IE35" s="118"/>
      <c r="IF35" s="118"/>
      <c r="IG35" s="118"/>
      <c r="IH35" s="118"/>
      <c r="II35" s="121"/>
      <c r="IJ35" s="117"/>
      <c r="IK35" s="118"/>
      <c r="IL35" s="118"/>
      <c r="IM35" s="118"/>
      <c r="IN35" s="118"/>
      <c r="IO35" s="119"/>
      <c r="IP35" s="120"/>
      <c r="IQ35" s="118"/>
      <c r="IR35" s="118"/>
      <c r="IS35" s="118"/>
      <c r="IT35" s="118"/>
      <c r="IU35" s="119"/>
      <c r="IV35" s="120"/>
      <c r="IW35" s="118"/>
      <c r="IX35" s="118"/>
      <c r="IY35" s="118"/>
      <c r="IZ35" s="118"/>
      <c r="JA35" s="119"/>
      <c r="JB35" s="120"/>
      <c r="JC35" s="118"/>
      <c r="JD35" s="118"/>
      <c r="JE35" s="118"/>
      <c r="JF35" s="118"/>
      <c r="JG35" s="121"/>
      <c r="JH35" s="117"/>
      <c r="JI35" s="118"/>
      <c r="JJ35" s="118"/>
      <c r="JK35" s="118"/>
      <c r="JL35" s="118"/>
      <c r="JM35" s="119"/>
      <c r="JN35" s="120"/>
      <c r="JO35" s="118"/>
      <c r="JP35" s="118"/>
      <c r="JQ35" s="118"/>
      <c r="JR35" s="118"/>
      <c r="JS35" s="119"/>
      <c r="JT35" s="120"/>
      <c r="JU35" s="118"/>
      <c r="JV35" s="118"/>
      <c r="JW35" s="118"/>
      <c r="JX35" s="118"/>
      <c r="JY35" s="119"/>
      <c r="JZ35" s="120"/>
      <c r="KA35" s="118"/>
      <c r="KB35" s="118"/>
      <c r="KC35" s="118"/>
      <c r="KD35" s="118"/>
      <c r="KE35" s="121"/>
      <c r="KF35" s="117"/>
      <c r="KG35" s="118"/>
      <c r="KH35" s="118"/>
      <c r="KI35" s="118"/>
      <c r="KJ35" s="118"/>
      <c r="KK35" s="119"/>
      <c r="KL35" s="120"/>
      <c r="KM35" s="118"/>
      <c r="KN35" s="118"/>
      <c r="KO35" s="118"/>
      <c r="KP35" s="118"/>
      <c r="KQ35" s="119"/>
      <c r="KR35" s="120"/>
      <c r="KS35" s="118"/>
      <c r="KT35" s="118"/>
      <c r="KU35" s="118"/>
      <c r="KV35" s="118"/>
      <c r="KW35" s="119"/>
      <c r="KX35" s="120"/>
      <c r="KY35" s="118"/>
      <c r="KZ35" s="118"/>
      <c r="LA35" s="118"/>
      <c r="LB35" s="118"/>
      <c r="LC35" s="121"/>
      <c r="LD35" s="117"/>
      <c r="LE35" s="118"/>
      <c r="LF35" s="118"/>
      <c r="LG35" s="118"/>
      <c r="LH35" s="118"/>
      <c r="LI35" s="119"/>
      <c r="LJ35" s="120"/>
      <c r="LK35" s="118"/>
      <c r="LL35" s="118"/>
      <c r="LM35" s="118"/>
      <c r="LN35" s="118"/>
      <c r="LO35" s="119"/>
      <c r="LP35" s="120"/>
      <c r="LQ35" s="118"/>
      <c r="LR35" s="118"/>
      <c r="LS35" s="118"/>
      <c r="LT35" s="118"/>
      <c r="LU35" s="119"/>
      <c r="LV35" s="120"/>
      <c r="LW35" s="118"/>
      <c r="LX35" s="118"/>
      <c r="LY35" s="118"/>
      <c r="LZ35" s="118"/>
      <c r="MA35" s="121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x14ac:dyDescent="0.2">
      <c r="B36" s="115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47" t="s">
        <v>16</v>
      </c>
      <c r="C37" s="49">
        <f>SUM($C$3,$C$5,$C$7,$C$9,$C$11,$C$13,$C$15,$C$17,$C$19,$C$21,$C$23,$C$25,$C$27,$C$29,$C$31,$C$33,$C$35)</f>
        <v>360</v>
      </c>
      <c r="D37" s="97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9"/>
      <c r="AB37" s="97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9"/>
      <c r="AZ37" s="97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9"/>
      <c r="BX37" s="97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9"/>
      <c r="CV37" s="97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9"/>
      <c r="DT37" s="97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8"/>
      <c r="EN37" s="98"/>
      <c r="EO37" s="98"/>
      <c r="EP37" s="98"/>
      <c r="EQ37" s="99"/>
      <c r="ER37" s="97"/>
      <c r="ES37" s="98"/>
      <c r="ET37" s="98"/>
      <c r="EU37" s="98"/>
      <c r="EV37" s="98"/>
      <c r="EW37" s="98"/>
      <c r="EX37" s="98"/>
      <c r="EY37" s="98"/>
      <c r="EZ37" s="98"/>
      <c r="FA37" s="98"/>
      <c r="FB37" s="98"/>
      <c r="FC37" s="98"/>
      <c r="FD37" s="9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9"/>
      <c r="FP37" s="97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98"/>
      <c r="GG37" s="98"/>
      <c r="GH37" s="98"/>
      <c r="GI37" s="98"/>
      <c r="GJ37" s="98"/>
      <c r="GK37" s="98"/>
      <c r="GL37" s="98"/>
      <c r="GM37" s="99"/>
      <c r="GN37" s="97"/>
      <c r="GO37" s="98"/>
      <c r="GP37" s="98"/>
      <c r="GQ37" s="98"/>
      <c r="GR37" s="98"/>
      <c r="GS37" s="98"/>
      <c r="GT37" s="98"/>
      <c r="GU37" s="98"/>
      <c r="GV37" s="98"/>
      <c r="GW37" s="98"/>
      <c r="GX37" s="98"/>
      <c r="GY37" s="98"/>
      <c r="GZ37" s="98"/>
      <c r="HA37" s="98"/>
      <c r="HB37" s="98"/>
      <c r="HC37" s="98"/>
      <c r="HD37" s="98"/>
      <c r="HE37" s="98"/>
      <c r="HF37" s="98"/>
      <c r="HG37" s="98"/>
      <c r="HH37" s="98"/>
      <c r="HI37" s="98"/>
      <c r="HJ37" s="98"/>
      <c r="HK37" s="99"/>
      <c r="HL37" s="97"/>
      <c r="HM37" s="98"/>
      <c r="HN37" s="98"/>
      <c r="HO37" s="98"/>
      <c r="HP37" s="98"/>
      <c r="HQ37" s="98"/>
      <c r="HR37" s="98"/>
      <c r="HS37" s="98"/>
      <c r="HT37" s="98"/>
      <c r="HU37" s="98"/>
      <c r="HV37" s="98"/>
      <c r="HW37" s="98"/>
      <c r="HX37" s="98"/>
      <c r="HY37" s="98"/>
      <c r="HZ37" s="98"/>
      <c r="IA37" s="98"/>
      <c r="IB37" s="98"/>
      <c r="IC37" s="98"/>
      <c r="ID37" s="98"/>
      <c r="IE37" s="98"/>
      <c r="IF37" s="98"/>
      <c r="IG37" s="98"/>
      <c r="IH37" s="98"/>
      <c r="II37" s="99"/>
      <c r="IJ37" s="97"/>
      <c r="IK37" s="98"/>
      <c r="IL37" s="98"/>
      <c r="IM37" s="98"/>
      <c r="IN37" s="98"/>
      <c r="IO37" s="98"/>
      <c r="IP37" s="98"/>
      <c r="IQ37" s="98"/>
      <c r="IR37" s="98"/>
      <c r="IS37" s="98"/>
      <c r="IT37" s="98"/>
      <c r="IU37" s="98"/>
      <c r="IV37" s="98"/>
      <c r="IW37" s="98"/>
      <c r="IX37" s="98"/>
      <c r="IY37" s="98"/>
      <c r="IZ37" s="98"/>
      <c r="JA37" s="98"/>
      <c r="JB37" s="98"/>
      <c r="JC37" s="98"/>
      <c r="JD37" s="98"/>
      <c r="JE37" s="98"/>
      <c r="JF37" s="98"/>
      <c r="JG37" s="99"/>
      <c r="JH37" s="97"/>
      <c r="JI37" s="98"/>
      <c r="JJ37" s="98"/>
      <c r="JK37" s="98"/>
      <c r="JL37" s="98"/>
      <c r="JM37" s="98"/>
      <c r="JN37" s="98"/>
      <c r="JO37" s="98"/>
      <c r="JP37" s="98"/>
      <c r="JQ37" s="98"/>
      <c r="JR37" s="98"/>
      <c r="JS37" s="98"/>
      <c r="JT37" s="98"/>
      <c r="JU37" s="98"/>
      <c r="JV37" s="98"/>
      <c r="JW37" s="98"/>
      <c r="JX37" s="98"/>
      <c r="JY37" s="98"/>
      <c r="JZ37" s="98"/>
      <c r="KA37" s="98"/>
      <c r="KB37" s="98"/>
      <c r="KC37" s="98"/>
      <c r="KD37" s="98"/>
      <c r="KE37" s="99"/>
      <c r="KF37" s="97"/>
      <c r="KG37" s="98"/>
      <c r="KH37" s="98"/>
      <c r="KI37" s="98"/>
      <c r="KJ37" s="98"/>
      <c r="KK37" s="98"/>
      <c r="KL37" s="98"/>
      <c r="KM37" s="98"/>
      <c r="KN37" s="98"/>
      <c r="KO37" s="98"/>
      <c r="KP37" s="98"/>
      <c r="KQ37" s="98"/>
      <c r="KR37" s="98"/>
      <c r="KS37" s="98"/>
      <c r="KT37" s="98"/>
      <c r="KU37" s="98"/>
      <c r="KV37" s="98"/>
      <c r="KW37" s="98"/>
      <c r="KX37" s="98"/>
      <c r="KY37" s="98"/>
      <c r="KZ37" s="98"/>
      <c r="LA37" s="98"/>
      <c r="LB37" s="98"/>
      <c r="LC37" s="99"/>
      <c r="LD37" s="97"/>
      <c r="LE37" s="98"/>
      <c r="LF37" s="98"/>
      <c r="LG37" s="98"/>
      <c r="LH37" s="98"/>
      <c r="LI37" s="98"/>
      <c r="LJ37" s="98"/>
      <c r="LK37" s="98"/>
      <c r="LL37" s="98"/>
      <c r="LM37" s="98"/>
      <c r="LN37" s="98"/>
      <c r="LO37" s="98"/>
      <c r="LP37" s="98"/>
      <c r="LQ37" s="98"/>
      <c r="LR37" s="98"/>
      <c r="LS37" s="98"/>
      <c r="LT37" s="98"/>
      <c r="LU37" s="98"/>
      <c r="LV37" s="98"/>
      <c r="LW37" s="98"/>
      <c r="LX37" s="98"/>
      <c r="LY37" s="98"/>
      <c r="LZ37" s="98"/>
      <c r="MA37" s="99"/>
      <c r="MB37" s="97"/>
      <c r="MC37" s="98"/>
      <c r="MD37" s="98"/>
      <c r="ME37" s="98"/>
      <c r="MF37" s="98"/>
      <c r="MG37" s="98"/>
      <c r="MH37" s="98"/>
      <c r="MI37" s="98"/>
      <c r="MJ37" s="98"/>
      <c r="MK37" s="98"/>
      <c r="ML37" s="98"/>
      <c r="MM37" s="98"/>
      <c r="MN37" s="98"/>
      <c r="MO37" s="98"/>
      <c r="MP37" s="98"/>
      <c r="MQ37" s="98"/>
      <c r="MR37" s="98"/>
      <c r="MS37" s="98"/>
      <c r="MT37" s="98"/>
      <c r="MU37" s="98"/>
      <c r="MV37" s="98"/>
      <c r="MW37" s="98"/>
      <c r="MX37" s="98"/>
      <c r="MY37" s="99"/>
    </row>
    <row r="38" spans="2:36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0</v>
      </c>
      <c r="D38" s="100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2"/>
      <c r="AB38" s="100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2"/>
      <c r="AZ38" s="100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  <c r="BX38" s="100"/>
      <c r="BY38" s="101"/>
      <c r="BZ38" s="101"/>
      <c r="CA38" s="101"/>
      <c r="CB38" s="101"/>
      <c r="CC38" s="101"/>
      <c r="CD38" s="101"/>
      <c r="CE38" s="101"/>
      <c r="CF38" s="101"/>
      <c r="CG38" s="101"/>
      <c r="CH38" s="101"/>
      <c r="CI38" s="101"/>
      <c r="CJ38" s="101"/>
      <c r="CK38" s="101"/>
      <c r="CL38" s="101"/>
      <c r="CM38" s="101"/>
      <c r="CN38" s="101"/>
      <c r="CO38" s="101"/>
      <c r="CP38" s="101"/>
      <c r="CQ38" s="101"/>
      <c r="CR38" s="101"/>
      <c r="CS38" s="101"/>
      <c r="CT38" s="101"/>
      <c r="CU38" s="102"/>
      <c r="CV38" s="100"/>
      <c r="CW38" s="101"/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00"/>
      <c r="DU38" s="101"/>
      <c r="DV38" s="101"/>
      <c r="DW38" s="101"/>
      <c r="DX38" s="101"/>
      <c r="DY38" s="101"/>
      <c r="DZ38" s="101"/>
      <c r="EA38" s="101"/>
      <c r="EB38" s="101"/>
      <c r="EC38" s="101"/>
      <c r="ED38" s="101"/>
      <c r="EE38" s="101"/>
      <c r="EF38" s="101"/>
      <c r="EG38" s="101"/>
      <c r="EH38" s="101"/>
      <c r="EI38" s="101"/>
      <c r="EJ38" s="101"/>
      <c r="EK38" s="101"/>
      <c r="EL38" s="101"/>
      <c r="EM38" s="101"/>
      <c r="EN38" s="101"/>
      <c r="EO38" s="101"/>
      <c r="EP38" s="101"/>
      <c r="EQ38" s="102"/>
      <c r="ER38" s="100"/>
      <c r="ES38" s="101"/>
      <c r="ET38" s="101"/>
      <c r="EU38" s="101"/>
      <c r="EV38" s="101"/>
      <c r="EW38" s="101"/>
      <c r="EX38" s="101"/>
      <c r="EY38" s="101"/>
      <c r="EZ38" s="101"/>
      <c r="FA38" s="101"/>
      <c r="FB38" s="101"/>
      <c r="FC38" s="101"/>
      <c r="FD38" s="101"/>
      <c r="FE38" s="101"/>
      <c r="FF38" s="101"/>
      <c r="FG38" s="101"/>
      <c r="FH38" s="101"/>
      <c r="FI38" s="101"/>
      <c r="FJ38" s="101"/>
      <c r="FK38" s="101"/>
      <c r="FL38" s="101"/>
      <c r="FM38" s="101"/>
      <c r="FN38" s="101"/>
      <c r="FO38" s="102"/>
      <c r="FP38" s="100"/>
      <c r="FQ38" s="101"/>
      <c r="FR38" s="101"/>
      <c r="FS38" s="101"/>
      <c r="FT38" s="101"/>
      <c r="FU38" s="101"/>
      <c r="FV38" s="101"/>
      <c r="FW38" s="101"/>
      <c r="FX38" s="101"/>
      <c r="FY38" s="101"/>
      <c r="FZ38" s="101"/>
      <c r="GA38" s="101"/>
      <c r="GB38" s="101"/>
      <c r="GC38" s="101"/>
      <c r="GD38" s="101"/>
      <c r="GE38" s="101"/>
      <c r="GF38" s="101"/>
      <c r="GG38" s="101"/>
      <c r="GH38" s="101"/>
      <c r="GI38" s="101"/>
      <c r="GJ38" s="101"/>
      <c r="GK38" s="101"/>
      <c r="GL38" s="101"/>
      <c r="GM38" s="102"/>
      <c r="GN38" s="100"/>
      <c r="GO38" s="101"/>
      <c r="GP38" s="101"/>
      <c r="GQ38" s="101"/>
      <c r="GR38" s="101"/>
      <c r="GS38" s="101"/>
      <c r="GT38" s="101"/>
      <c r="GU38" s="101"/>
      <c r="GV38" s="101"/>
      <c r="GW38" s="101"/>
      <c r="GX38" s="101"/>
      <c r="GY38" s="101"/>
      <c r="GZ38" s="101"/>
      <c r="HA38" s="101"/>
      <c r="HB38" s="101"/>
      <c r="HC38" s="101"/>
      <c r="HD38" s="101"/>
      <c r="HE38" s="101"/>
      <c r="HF38" s="101"/>
      <c r="HG38" s="101"/>
      <c r="HH38" s="101"/>
      <c r="HI38" s="101"/>
      <c r="HJ38" s="101"/>
      <c r="HK38" s="102"/>
      <c r="HL38" s="100"/>
      <c r="HM38" s="101"/>
      <c r="HN38" s="101"/>
      <c r="HO38" s="101"/>
      <c r="HP38" s="101"/>
      <c r="HQ38" s="101"/>
      <c r="HR38" s="101"/>
      <c r="HS38" s="101"/>
      <c r="HT38" s="101"/>
      <c r="HU38" s="101"/>
      <c r="HV38" s="101"/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2"/>
      <c r="IJ38" s="100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0"/>
      <c r="JI38" s="101"/>
      <c r="JJ38" s="101"/>
      <c r="JK38" s="101"/>
      <c r="JL38" s="101"/>
      <c r="JM38" s="101"/>
      <c r="JN38" s="101"/>
      <c r="JO38" s="101"/>
      <c r="JP38" s="101"/>
      <c r="JQ38" s="101"/>
      <c r="JR38" s="101"/>
      <c r="JS38" s="101"/>
      <c r="JT38" s="101"/>
      <c r="JU38" s="101"/>
      <c r="JV38" s="101"/>
      <c r="JW38" s="101"/>
      <c r="JX38" s="101"/>
      <c r="JY38" s="101"/>
      <c r="JZ38" s="101"/>
      <c r="KA38" s="101"/>
      <c r="KB38" s="101"/>
      <c r="KC38" s="101"/>
      <c r="KD38" s="101"/>
      <c r="KE38" s="102"/>
      <c r="KF38" s="100"/>
      <c r="KG38" s="101"/>
      <c r="KH38" s="101"/>
      <c r="KI38" s="101"/>
      <c r="KJ38" s="101"/>
      <c r="KK38" s="101"/>
      <c r="KL38" s="101"/>
      <c r="KM38" s="101"/>
      <c r="KN38" s="101"/>
      <c r="KO38" s="101"/>
      <c r="KP38" s="101"/>
      <c r="KQ38" s="101"/>
      <c r="KR38" s="101"/>
      <c r="KS38" s="101"/>
      <c r="KT38" s="101"/>
      <c r="KU38" s="101"/>
      <c r="KV38" s="101"/>
      <c r="KW38" s="101"/>
      <c r="KX38" s="101"/>
      <c r="KY38" s="101"/>
      <c r="KZ38" s="101"/>
      <c r="LA38" s="101"/>
      <c r="LB38" s="101"/>
      <c r="LC38" s="102"/>
      <c r="LD38" s="100"/>
      <c r="LE38" s="101"/>
      <c r="LF38" s="101"/>
      <c r="LG38" s="101"/>
      <c r="LH38" s="101"/>
      <c r="LI38" s="101"/>
      <c r="LJ38" s="101"/>
      <c r="LK38" s="101"/>
      <c r="LL38" s="101"/>
      <c r="LM38" s="101"/>
      <c r="LN38" s="101"/>
      <c r="LO38" s="101"/>
      <c r="LP38" s="101"/>
      <c r="LQ38" s="101"/>
      <c r="LR38" s="101"/>
      <c r="LS38" s="101"/>
      <c r="LT38" s="101"/>
      <c r="LU38" s="101"/>
      <c r="LV38" s="101"/>
      <c r="LW38" s="101"/>
      <c r="LX38" s="101"/>
      <c r="LY38" s="101"/>
      <c r="LZ38" s="101"/>
      <c r="MA38" s="102"/>
      <c r="MB38" s="100"/>
      <c r="MC38" s="101"/>
      <c r="MD38" s="101"/>
      <c r="ME38" s="101"/>
      <c r="MF38" s="101"/>
      <c r="MG38" s="101"/>
      <c r="MH38" s="101"/>
      <c r="MI38" s="101"/>
      <c r="MJ38" s="101"/>
      <c r="MK38" s="101"/>
      <c r="ML38" s="101"/>
      <c r="MM38" s="101"/>
      <c r="MN38" s="101"/>
      <c r="MO38" s="101"/>
      <c r="MP38" s="101"/>
      <c r="MQ38" s="101"/>
      <c r="MR38" s="101"/>
      <c r="MS38" s="101"/>
      <c r="MT38" s="101"/>
      <c r="MU38" s="101"/>
      <c r="MV38" s="101"/>
      <c r="MW38" s="101"/>
      <c r="MX38" s="101"/>
      <c r="MY38" s="102"/>
    </row>
  </sheetData>
  <sheetProtection sheet="1" objects="1" scenarios="1" insertRows="0" selectLockedCells="1"/>
  <mergeCells count="32">
    <mergeCell ref="LD2:MA2"/>
    <mergeCell ref="MB2:MY2"/>
    <mergeCell ref="FP2:GM2"/>
    <mergeCell ref="GN2:HK2"/>
    <mergeCell ref="HL2:II2"/>
    <mergeCell ref="IJ2:JG2"/>
    <mergeCell ref="JH2:KE2"/>
    <mergeCell ref="KF2:LC2"/>
    <mergeCell ref="AB2:AY2"/>
    <mergeCell ref="AZ2:BW2"/>
    <mergeCell ref="BX2:CU2"/>
    <mergeCell ref="CV2:DS2"/>
    <mergeCell ref="DT2:EQ2"/>
    <mergeCell ref="ER2:FO2"/>
    <mergeCell ref="B27:B28"/>
    <mergeCell ref="B29:B30"/>
    <mergeCell ref="B31:B32"/>
    <mergeCell ref="B33:B34"/>
    <mergeCell ref="B35:B36"/>
    <mergeCell ref="D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2" t="s">
        <v>21</v>
      </c>
      <c r="C3" s="30">
        <v>0</v>
      </c>
    </row>
    <row r="4" spans="1:4" ht="19.5" customHeight="1" x14ac:dyDescent="0.2">
      <c r="A4" s="34"/>
      <c r="B4" s="11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50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10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view="pageBreakPreview" zoomScale="60" zoomScaleNormal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104" t="s">
        <v>73</v>
      </c>
      <c r="D18" s="76"/>
    </row>
    <row r="19" spans="1:9" ht="15" thickBot="1" x14ac:dyDescent="0.35">
      <c r="A19" s="77"/>
      <c r="B19" s="77"/>
      <c r="C19" s="77"/>
      <c r="D19" s="77"/>
    </row>
    <row r="20" spans="1:9" ht="18.75" thickBot="1" x14ac:dyDescent="0.25">
      <c r="A20" s="70" t="s">
        <v>14</v>
      </c>
      <c r="B20" s="71">
        <v>2</v>
      </c>
      <c r="C20" s="72" t="s">
        <v>23</v>
      </c>
      <c r="D20" s="81">
        <v>42752</v>
      </c>
    </row>
    <row r="21" spans="1:9" ht="27.75" thickBot="1" x14ac:dyDescent="0.25">
      <c r="A21" s="73" t="s">
        <v>3</v>
      </c>
      <c r="B21" s="74" t="s">
        <v>15</v>
      </c>
      <c r="C21" s="73" t="s">
        <v>7</v>
      </c>
      <c r="D21" s="73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8"/>
      <c r="B34" s="78"/>
      <c r="C34" s="79"/>
      <c r="D34" s="79"/>
      <c r="E34" s="37"/>
      <c r="F34" s="59"/>
      <c r="G34" s="60"/>
      <c r="H34" s="60"/>
      <c r="I34" s="37"/>
    </row>
    <row r="35" spans="1:9" ht="13.5" x14ac:dyDescent="0.2">
      <c r="A35" s="78"/>
      <c r="B35" s="78"/>
      <c r="C35" s="79"/>
      <c r="D35" s="79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5" t="s">
        <v>22</v>
      </c>
      <c r="B37" s="75">
        <f>SUM(B22:B36)</f>
        <v>0</v>
      </c>
      <c r="C37" s="104" t="s">
        <v>73</v>
      </c>
      <c r="D37" s="76"/>
      <c r="E37" s="37"/>
      <c r="F37" s="37"/>
      <c r="G37" s="37"/>
      <c r="H37" s="37"/>
      <c r="I37" s="37"/>
    </row>
    <row r="38" spans="1:9" ht="15" thickBot="1" x14ac:dyDescent="0.35">
      <c r="A38" s="77"/>
      <c r="B38" s="77"/>
      <c r="C38" s="77"/>
      <c r="D38" s="77"/>
      <c r="E38" s="37"/>
      <c r="F38" s="37"/>
      <c r="G38" s="37"/>
      <c r="H38" s="37"/>
      <c r="I38" s="37"/>
    </row>
    <row r="39" spans="1:9" ht="18.75" thickBot="1" x14ac:dyDescent="0.25">
      <c r="A39" s="70" t="s">
        <v>14</v>
      </c>
      <c r="B39" s="71">
        <v>3</v>
      </c>
      <c r="C39" s="72" t="s">
        <v>23</v>
      </c>
      <c r="D39" s="81">
        <v>42759</v>
      </c>
      <c r="E39" s="37"/>
      <c r="F39" s="37"/>
      <c r="G39" s="37"/>
      <c r="H39" s="37"/>
      <c r="I39" s="37"/>
    </row>
    <row r="40" spans="1:9" ht="27.75" thickBot="1" x14ac:dyDescent="0.25">
      <c r="A40" s="73" t="s">
        <v>3</v>
      </c>
      <c r="B40" s="74" t="s">
        <v>15</v>
      </c>
      <c r="C40" s="73" t="s">
        <v>7</v>
      </c>
      <c r="D40" s="73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8"/>
      <c r="B53" s="78"/>
      <c r="C53" s="79"/>
      <c r="D53" s="79"/>
    </row>
    <row r="54" spans="1:4" ht="13.5" x14ac:dyDescent="0.2">
      <c r="A54" s="78"/>
      <c r="B54" s="78"/>
      <c r="C54" s="79"/>
      <c r="D54" s="79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5" t="s">
        <v>22</v>
      </c>
      <c r="B56" s="75">
        <f>SUM(B41:B55)</f>
        <v>0</v>
      </c>
      <c r="C56" s="104" t="s">
        <v>73</v>
      </c>
      <c r="D56" s="76"/>
    </row>
    <row r="57" spans="1:4" ht="15" thickBot="1" x14ac:dyDescent="0.35">
      <c r="A57" s="77"/>
      <c r="B57" s="77"/>
      <c r="C57" s="77"/>
      <c r="D57" s="77"/>
    </row>
    <row r="58" spans="1:4" ht="18.75" thickBot="1" x14ac:dyDescent="0.25">
      <c r="A58" s="70" t="s">
        <v>14</v>
      </c>
      <c r="B58" s="71">
        <v>4</v>
      </c>
      <c r="C58" s="72" t="s">
        <v>23</v>
      </c>
      <c r="D58" s="81">
        <v>42766</v>
      </c>
    </row>
    <row r="59" spans="1:4" ht="27.75" thickBot="1" x14ac:dyDescent="0.25">
      <c r="A59" s="73" t="s">
        <v>3</v>
      </c>
      <c r="B59" s="74" t="s">
        <v>15</v>
      </c>
      <c r="C59" s="73" t="s">
        <v>7</v>
      </c>
      <c r="D59" s="73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8"/>
      <c r="B72" s="78"/>
      <c r="C72" s="79"/>
      <c r="D72" s="79"/>
    </row>
    <row r="73" spans="1:4" ht="13.5" x14ac:dyDescent="0.2">
      <c r="A73" s="78"/>
      <c r="B73" s="78"/>
      <c r="C73" s="79"/>
      <c r="D73" s="79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5" t="s">
        <v>22</v>
      </c>
      <c r="B75" s="75">
        <f>SUM(B60:B74)</f>
        <v>0</v>
      </c>
      <c r="C75" s="104" t="s">
        <v>73</v>
      </c>
      <c r="D75" s="76"/>
    </row>
    <row r="76" spans="1:4" ht="15" thickBot="1" x14ac:dyDescent="0.35">
      <c r="A76" s="77"/>
      <c r="B76" s="77"/>
      <c r="C76" s="77"/>
      <c r="D76" s="77"/>
    </row>
    <row r="77" spans="1:4" ht="18.75" thickBot="1" x14ac:dyDescent="0.25">
      <c r="A77" s="70" t="s">
        <v>14</v>
      </c>
      <c r="B77" s="71">
        <v>5</v>
      </c>
      <c r="C77" s="72" t="s">
        <v>23</v>
      </c>
      <c r="D77" s="81">
        <v>42773</v>
      </c>
    </row>
    <row r="78" spans="1:4" ht="27.75" thickBot="1" x14ac:dyDescent="0.25">
      <c r="A78" s="73" t="s">
        <v>3</v>
      </c>
      <c r="B78" s="74" t="s">
        <v>15</v>
      </c>
      <c r="C78" s="73" t="s">
        <v>7</v>
      </c>
      <c r="D78" s="73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8"/>
      <c r="B91" s="78"/>
      <c r="C91" s="79"/>
      <c r="D91" s="79"/>
    </row>
    <row r="92" spans="1:4" ht="13.5" x14ac:dyDescent="0.2">
      <c r="A92" s="78"/>
      <c r="B92" s="78"/>
      <c r="C92" s="79"/>
      <c r="D92" s="79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5" t="s">
        <v>22</v>
      </c>
      <c r="B94" s="75">
        <f>SUM(B79:B93)</f>
        <v>0</v>
      </c>
      <c r="C94" s="104" t="s">
        <v>73</v>
      </c>
      <c r="D94" s="76"/>
    </row>
    <row r="95" spans="1:4" ht="15" thickBot="1" x14ac:dyDescent="0.35">
      <c r="A95" s="77"/>
      <c r="B95" s="77"/>
      <c r="C95" s="77"/>
      <c r="D95" s="77"/>
    </row>
    <row r="96" spans="1:4" ht="18.75" thickBot="1" x14ac:dyDescent="0.25">
      <c r="A96" s="70" t="s">
        <v>14</v>
      </c>
      <c r="B96" s="71">
        <v>6</v>
      </c>
      <c r="C96" s="72" t="s">
        <v>23</v>
      </c>
      <c r="D96" s="81">
        <v>42780</v>
      </c>
    </row>
    <row r="97" spans="1:4" ht="27.75" thickBot="1" x14ac:dyDescent="0.25">
      <c r="A97" s="73" t="s">
        <v>3</v>
      </c>
      <c r="B97" s="74" t="s">
        <v>15</v>
      </c>
      <c r="C97" s="73" t="s">
        <v>7</v>
      </c>
      <c r="D97" s="73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8"/>
      <c r="B110" s="78"/>
      <c r="C110" s="79"/>
      <c r="D110" s="79"/>
    </row>
    <row r="111" spans="1:4" ht="13.5" x14ac:dyDescent="0.2">
      <c r="A111" s="78"/>
      <c r="B111" s="78"/>
      <c r="C111" s="79"/>
      <c r="D111" s="79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5" t="s">
        <v>22</v>
      </c>
      <c r="B113" s="75">
        <f>SUM(B98:B112)</f>
        <v>0</v>
      </c>
      <c r="C113" s="104" t="s">
        <v>73</v>
      </c>
      <c r="D113" s="76"/>
    </row>
    <row r="114" spans="1:4" ht="15" thickBot="1" x14ac:dyDescent="0.35">
      <c r="A114" s="77"/>
      <c r="B114" s="77"/>
      <c r="C114" s="77"/>
      <c r="D114" s="77"/>
    </row>
    <row r="115" spans="1:4" ht="18.75" thickBot="1" x14ac:dyDescent="0.25">
      <c r="A115" s="70" t="s">
        <v>14</v>
      </c>
      <c r="B115" s="71">
        <v>7</v>
      </c>
      <c r="C115" s="72" t="s">
        <v>23</v>
      </c>
      <c r="D115" s="81">
        <v>42787</v>
      </c>
    </row>
    <row r="116" spans="1:4" ht="27.75" thickBot="1" x14ac:dyDescent="0.25">
      <c r="A116" s="73" t="s">
        <v>3</v>
      </c>
      <c r="B116" s="74" t="s">
        <v>15</v>
      </c>
      <c r="C116" s="73" t="s">
        <v>7</v>
      </c>
      <c r="D116" s="73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8"/>
      <c r="B129" s="78"/>
      <c r="C129" s="79"/>
      <c r="D129" s="79"/>
    </row>
    <row r="130" spans="1:4" ht="13.5" x14ac:dyDescent="0.2">
      <c r="A130" s="78"/>
      <c r="B130" s="78"/>
      <c r="C130" s="79"/>
      <c r="D130" s="79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5" t="s">
        <v>22</v>
      </c>
      <c r="B132" s="75">
        <f>SUM(B117:B131)</f>
        <v>0</v>
      </c>
      <c r="C132" s="104" t="s">
        <v>73</v>
      </c>
      <c r="D132" s="76"/>
    </row>
    <row r="133" spans="1:4" ht="15" thickBot="1" x14ac:dyDescent="0.35">
      <c r="A133" s="77"/>
      <c r="B133" s="77"/>
      <c r="C133" s="77"/>
      <c r="D133" s="77"/>
    </row>
    <row r="134" spans="1:4" ht="18.75" thickBot="1" x14ac:dyDescent="0.25">
      <c r="A134" s="70" t="s">
        <v>14</v>
      </c>
      <c r="B134" s="71">
        <v>8</v>
      </c>
      <c r="C134" s="72" t="s">
        <v>23</v>
      </c>
      <c r="D134" s="81">
        <v>42794</v>
      </c>
    </row>
    <row r="135" spans="1:4" ht="27.75" thickBot="1" x14ac:dyDescent="0.25">
      <c r="A135" s="73" t="s">
        <v>3</v>
      </c>
      <c r="B135" s="74" t="s">
        <v>15</v>
      </c>
      <c r="C135" s="73" t="s">
        <v>7</v>
      </c>
      <c r="D135" s="73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8"/>
      <c r="B148" s="78"/>
      <c r="C148" s="79"/>
      <c r="D148" s="79"/>
    </row>
    <row r="149" spans="1:4" ht="13.5" x14ac:dyDescent="0.2">
      <c r="A149" s="78"/>
      <c r="B149" s="78"/>
      <c r="C149" s="79"/>
      <c r="D149" s="79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5" t="s">
        <v>22</v>
      </c>
      <c r="B151" s="75">
        <f>SUM(B136:B150)</f>
        <v>0</v>
      </c>
      <c r="C151" s="104" t="s">
        <v>73</v>
      </c>
      <c r="D151" s="76"/>
    </row>
    <row r="152" spans="1:4" ht="15" thickBot="1" x14ac:dyDescent="0.35">
      <c r="A152" s="77"/>
      <c r="B152" s="77"/>
      <c r="C152" s="77"/>
      <c r="D152" s="77"/>
    </row>
    <row r="153" spans="1:4" ht="18.75" thickBot="1" x14ac:dyDescent="0.25">
      <c r="A153" s="70" t="s">
        <v>14</v>
      </c>
      <c r="B153" s="71">
        <v>9</v>
      </c>
      <c r="C153" s="72" t="s">
        <v>23</v>
      </c>
      <c r="D153" s="81">
        <v>42801</v>
      </c>
    </row>
    <row r="154" spans="1:4" ht="27.75" thickBot="1" x14ac:dyDescent="0.25">
      <c r="A154" s="73" t="s">
        <v>3</v>
      </c>
      <c r="B154" s="74" t="s">
        <v>15</v>
      </c>
      <c r="C154" s="73" t="s">
        <v>7</v>
      </c>
      <c r="D154" s="73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8"/>
      <c r="B167" s="78"/>
      <c r="C167" s="79"/>
      <c r="D167" s="79"/>
    </row>
    <row r="168" spans="1:4" ht="13.5" x14ac:dyDescent="0.2">
      <c r="A168" s="78"/>
      <c r="B168" s="78"/>
      <c r="C168" s="79"/>
      <c r="D168" s="79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5" t="s">
        <v>22</v>
      </c>
      <c r="B170" s="75">
        <f>SUM(B155:B169)</f>
        <v>0</v>
      </c>
      <c r="C170" s="104" t="s">
        <v>73</v>
      </c>
      <c r="D170" s="76"/>
    </row>
    <row r="171" spans="1:4" ht="15" thickBot="1" x14ac:dyDescent="0.35">
      <c r="A171" s="77"/>
      <c r="B171" s="77"/>
      <c r="C171" s="77"/>
      <c r="D171" s="77"/>
    </row>
    <row r="172" spans="1:4" ht="18.75" thickBot="1" x14ac:dyDescent="0.25">
      <c r="A172" s="70" t="s">
        <v>14</v>
      </c>
      <c r="B172" s="71">
        <v>10</v>
      </c>
      <c r="C172" s="72" t="s">
        <v>23</v>
      </c>
      <c r="D172" s="81">
        <v>42808</v>
      </c>
    </row>
    <row r="173" spans="1:4" ht="27.75" thickBot="1" x14ac:dyDescent="0.25">
      <c r="A173" s="73" t="s">
        <v>3</v>
      </c>
      <c r="B173" s="74" t="s">
        <v>15</v>
      </c>
      <c r="C173" s="73" t="s">
        <v>7</v>
      </c>
      <c r="D173" s="73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8"/>
      <c r="B186" s="78"/>
      <c r="C186" s="79"/>
      <c r="D186" s="79"/>
    </row>
    <row r="187" spans="1:4" ht="13.5" x14ac:dyDescent="0.2">
      <c r="A187" s="78"/>
      <c r="B187" s="78"/>
      <c r="C187" s="79"/>
      <c r="D187" s="79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5" t="s">
        <v>22</v>
      </c>
      <c r="B189" s="75">
        <f>SUM(B174:B188)</f>
        <v>0</v>
      </c>
      <c r="C189" s="104" t="s">
        <v>73</v>
      </c>
      <c r="D189" s="76"/>
    </row>
    <row r="190" spans="1:4" ht="15" thickBot="1" x14ac:dyDescent="0.35">
      <c r="A190" s="77"/>
      <c r="B190" s="77"/>
      <c r="C190" s="77"/>
      <c r="D190" s="77"/>
    </row>
    <row r="191" spans="1:4" ht="18.75" thickBot="1" x14ac:dyDescent="0.25">
      <c r="A191" s="70" t="s">
        <v>14</v>
      </c>
      <c r="B191" s="71">
        <v>11</v>
      </c>
      <c r="C191" s="72" t="s">
        <v>23</v>
      </c>
      <c r="D191" s="81">
        <v>42815</v>
      </c>
    </row>
    <row r="192" spans="1:4" ht="27.75" thickBot="1" x14ac:dyDescent="0.25">
      <c r="A192" s="73" t="s">
        <v>3</v>
      </c>
      <c r="B192" s="74" t="s">
        <v>15</v>
      </c>
      <c r="C192" s="73" t="s">
        <v>7</v>
      </c>
      <c r="D192" s="73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8"/>
      <c r="B205" s="78"/>
      <c r="C205" s="79"/>
      <c r="D205" s="79"/>
    </row>
    <row r="206" spans="1:4" ht="13.5" x14ac:dyDescent="0.2">
      <c r="A206" s="78"/>
      <c r="B206" s="78"/>
      <c r="C206" s="79"/>
      <c r="D206" s="79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5" t="s">
        <v>22</v>
      </c>
      <c r="B208" s="75">
        <f>SUM(B193:B207)</f>
        <v>0</v>
      </c>
      <c r="C208" s="104" t="s">
        <v>73</v>
      </c>
      <c r="D208" s="76"/>
    </row>
    <row r="209" spans="1:4" ht="15" thickBot="1" x14ac:dyDescent="0.35">
      <c r="A209" s="77"/>
      <c r="B209" s="77"/>
      <c r="C209" s="77"/>
      <c r="D209" s="77"/>
    </row>
    <row r="210" spans="1:4" ht="18.75" thickBot="1" x14ac:dyDescent="0.25">
      <c r="A210" s="70" t="s">
        <v>14</v>
      </c>
      <c r="B210" s="71">
        <v>12</v>
      </c>
      <c r="C210" s="72" t="s">
        <v>23</v>
      </c>
      <c r="D210" s="81">
        <v>42822</v>
      </c>
    </row>
    <row r="211" spans="1:4" ht="27.75" thickBot="1" x14ac:dyDescent="0.25">
      <c r="A211" s="73" t="s">
        <v>3</v>
      </c>
      <c r="B211" s="74" t="s">
        <v>15</v>
      </c>
      <c r="C211" s="73" t="s">
        <v>7</v>
      </c>
      <c r="D211" s="73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8"/>
      <c r="B224" s="78"/>
      <c r="C224" s="79"/>
      <c r="D224" s="79"/>
    </row>
    <row r="225" spans="1:4" ht="13.5" x14ac:dyDescent="0.2">
      <c r="A225" s="78"/>
      <c r="B225" s="78"/>
      <c r="C225" s="79"/>
      <c r="D225" s="79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5" t="s">
        <v>22</v>
      </c>
      <c r="B227" s="75">
        <f>SUM(B212:B226)</f>
        <v>0</v>
      </c>
      <c r="C227" s="104" t="s">
        <v>73</v>
      </c>
      <c r="D227" s="76"/>
    </row>
    <row r="228" spans="1:4" ht="15" thickBot="1" x14ac:dyDescent="0.35">
      <c r="A228" s="77"/>
      <c r="B228" s="77"/>
      <c r="C228" s="77"/>
      <c r="D228" s="77"/>
    </row>
    <row r="229" spans="1:4" ht="18.75" thickBot="1" x14ac:dyDescent="0.25">
      <c r="A229" s="70" t="s">
        <v>14</v>
      </c>
      <c r="B229" s="71">
        <v>13</v>
      </c>
      <c r="C229" s="72" t="s">
        <v>23</v>
      </c>
      <c r="D229" s="81">
        <v>42829</v>
      </c>
    </row>
    <row r="230" spans="1:4" ht="27.75" thickBot="1" x14ac:dyDescent="0.25">
      <c r="A230" s="73" t="s">
        <v>3</v>
      </c>
      <c r="B230" s="74" t="s">
        <v>15</v>
      </c>
      <c r="C230" s="73" t="s">
        <v>7</v>
      </c>
      <c r="D230" s="73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8"/>
      <c r="B243" s="78"/>
      <c r="C243" s="79"/>
      <c r="D243" s="79"/>
    </row>
    <row r="244" spans="1:4" ht="13.5" x14ac:dyDescent="0.2">
      <c r="A244" s="78"/>
      <c r="B244" s="78"/>
      <c r="C244" s="79"/>
      <c r="D244" s="79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5" t="s">
        <v>22</v>
      </c>
      <c r="B246" s="75">
        <f>SUM(B231:B245)</f>
        <v>0</v>
      </c>
      <c r="C246" s="104" t="s">
        <v>73</v>
      </c>
      <c r="D246" s="76"/>
    </row>
    <row r="247" spans="1:4" ht="15" thickBot="1" x14ac:dyDescent="0.35">
      <c r="A247" s="77"/>
      <c r="B247" s="77"/>
      <c r="C247" s="77"/>
      <c r="D247" s="77"/>
    </row>
    <row r="248" spans="1:4" ht="18.75" thickBot="1" x14ac:dyDescent="0.25">
      <c r="A248" s="70" t="s">
        <v>14</v>
      </c>
      <c r="B248" s="71">
        <v>14</v>
      </c>
      <c r="C248" s="72" t="s">
        <v>23</v>
      </c>
      <c r="D248" s="81">
        <v>42836</v>
      </c>
    </row>
    <row r="249" spans="1:4" ht="27.75" thickBot="1" x14ac:dyDescent="0.25">
      <c r="A249" s="73" t="s">
        <v>3</v>
      </c>
      <c r="B249" s="74" t="s">
        <v>15</v>
      </c>
      <c r="C249" s="73" t="s">
        <v>7</v>
      </c>
      <c r="D249" s="73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8"/>
      <c r="B262" s="78"/>
      <c r="C262" s="79"/>
      <c r="D262" s="79"/>
    </row>
    <row r="263" spans="1:4" ht="13.5" x14ac:dyDescent="0.2">
      <c r="A263" s="78"/>
      <c r="B263" s="78"/>
      <c r="C263" s="79"/>
      <c r="D263" s="79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5" t="s">
        <v>22</v>
      </c>
      <c r="B265" s="75">
        <f>SUM(B250:B264)</f>
        <v>0</v>
      </c>
      <c r="C265" s="104" t="s">
        <v>73</v>
      </c>
      <c r="D265" s="76"/>
    </row>
    <row r="266" spans="1:4" ht="15" thickBot="1" x14ac:dyDescent="0.35">
      <c r="A266" s="77"/>
      <c r="B266" s="77"/>
      <c r="C266" s="77"/>
      <c r="D266" s="77"/>
    </row>
    <row r="267" spans="1:4" ht="18.75" thickBot="1" x14ac:dyDescent="0.25">
      <c r="A267" s="70" t="s">
        <v>14</v>
      </c>
      <c r="B267" s="71">
        <v>15</v>
      </c>
      <c r="C267" s="72" t="s">
        <v>23</v>
      </c>
      <c r="D267" s="81">
        <v>42843</v>
      </c>
    </row>
    <row r="268" spans="1:4" ht="27.75" thickBot="1" x14ac:dyDescent="0.25">
      <c r="A268" s="73" t="s">
        <v>3</v>
      </c>
      <c r="B268" s="74" t="s">
        <v>15</v>
      </c>
      <c r="C268" s="73" t="s">
        <v>7</v>
      </c>
      <c r="D268" s="73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8"/>
      <c r="B281" s="78"/>
      <c r="C281" s="79"/>
      <c r="D281" s="79"/>
    </row>
    <row r="282" spans="1:4" ht="13.5" x14ac:dyDescent="0.2">
      <c r="A282" s="78"/>
      <c r="B282" s="78"/>
      <c r="C282" s="79"/>
      <c r="D282" s="79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5" t="s">
        <v>22</v>
      </c>
      <c r="B284" s="75">
        <f>SUM(B269:B283)</f>
        <v>0</v>
      </c>
      <c r="C284" s="104" t="s">
        <v>73</v>
      </c>
      <c r="D284" s="76"/>
    </row>
    <row r="285" spans="1:4" ht="14.25" x14ac:dyDescent="0.3">
      <c r="A285" s="77"/>
      <c r="B285" s="77"/>
      <c r="C285" s="77"/>
      <c r="D285" s="77"/>
    </row>
    <row r="286" spans="1:4" x14ac:dyDescent="0.2">
      <c r="A286" s="105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427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2017-01-10T14:51:50Z</dcterms:modified>
  <cp:contentStatus>Version 8.0</cp:contentStatus>
</cp:coreProperties>
</file>